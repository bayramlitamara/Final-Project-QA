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esktop\bitirme isi\"/>
    </mc:Choice>
  </mc:AlternateContent>
  <xr:revisionPtr revIDLastSave="0" documentId="13_ncr:1_{B450ADFC-C708-4D8A-B912-C450B9D9A0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Xülasə" sheetId="1" r:id="rId1"/>
    <sheet name="Test Report" sheetId="2" r:id="rId2"/>
    <sheet name="Web Test Cases" sheetId="3" r:id="rId3"/>
    <sheet name="Web Test Scenarios" sheetId="4" r:id="rId4"/>
    <sheet name="Web Test Scope" sheetId="5" r:id="rId5"/>
    <sheet name="Tapıntılar" sheetId="6" r:id="rId6"/>
    <sheet name="API Test Cases" sheetId="7" r:id="rId7"/>
    <sheet name="API Coverage" sheetId="8" r:id="rId8"/>
    <sheet name="API Traceability" sheetId="9" r:id="rId9"/>
    <sheet name="API Grooming Questions" sheetId="10" r:id="rId10"/>
  </sheets>
  <definedNames>
    <definedName name="_xlnm._FilterDatabase" localSheetId="6" hidden="1">'API Test Cases'!$A$1:$O$170</definedName>
    <definedName name="_xlnm._FilterDatabase" localSheetId="2" hidden="1">'Web Test Cases'!$A$1:$O$136</definedName>
    <definedName name="_xlnm.Print_Area" localSheetId="1">'Test Report'!$A$1:$L$107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8" l="1"/>
  <c r="F13" i="8"/>
  <c r="K12" i="8"/>
  <c r="J12" i="8"/>
  <c r="I12" i="8"/>
  <c r="H12" i="8"/>
  <c r="K11" i="8"/>
  <c r="J11" i="8"/>
  <c r="I11" i="8"/>
  <c r="H11" i="8"/>
  <c r="K10" i="8"/>
  <c r="J10" i="8"/>
  <c r="I10" i="8"/>
  <c r="H10" i="8"/>
  <c r="K9" i="8"/>
  <c r="J9" i="8"/>
  <c r="I9" i="8"/>
  <c r="H9" i="8"/>
  <c r="K8" i="8"/>
  <c r="J8" i="8"/>
  <c r="I8" i="8"/>
  <c r="H8" i="8"/>
  <c r="K7" i="8"/>
  <c r="J7" i="8"/>
  <c r="I7" i="8"/>
  <c r="H7" i="8"/>
  <c r="K6" i="8"/>
  <c r="J6" i="8"/>
  <c r="I6" i="8"/>
  <c r="H6" i="8"/>
  <c r="K5" i="8"/>
  <c r="J5" i="8"/>
  <c r="I5" i="8"/>
  <c r="H5" i="8"/>
  <c r="K4" i="8"/>
  <c r="J4" i="8"/>
  <c r="I4" i="8"/>
  <c r="H4" i="8"/>
  <c r="H13" i="8" s="1"/>
  <c r="K3" i="8"/>
  <c r="J3" i="8"/>
  <c r="I3" i="8"/>
  <c r="I13" i="8" s="1"/>
  <c r="H3" i="8"/>
  <c r="K2" i="8"/>
  <c r="K13" i="8" s="1"/>
  <c r="J2" i="8"/>
  <c r="J13" i="8" s="1"/>
  <c r="I2" i="8"/>
  <c r="H2" i="8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H4" i="4"/>
  <c r="G4" i="4"/>
  <c r="F4" i="4"/>
  <c r="E4" i="4"/>
  <c r="H3" i="4"/>
  <c r="H15" i="4" s="1"/>
  <c r="G3" i="4"/>
  <c r="G15" i="4" s="1"/>
  <c r="F3" i="4"/>
  <c r="F15" i="4" s="1"/>
  <c r="E3" i="4"/>
  <c r="H2" i="4"/>
  <c r="G2" i="4"/>
  <c r="F2" i="4"/>
  <c r="E2" i="4"/>
  <c r="E15" i="4" s="1"/>
  <c r="F99" i="2"/>
  <c r="E99" i="2"/>
  <c r="D99" i="2"/>
  <c r="C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J63" i="2"/>
  <c r="I63" i="2"/>
  <c r="H63" i="2"/>
  <c r="G63" i="2"/>
  <c r="F63" i="2"/>
  <c r="E63" i="2"/>
  <c r="D63" i="2"/>
  <c r="C63" i="2"/>
  <c r="J62" i="2"/>
  <c r="I62" i="2"/>
  <c r="H62" i="2"/>
  <c r="G62" i="2"/>
  <c r="F62" i="2"/>
  <c r="E62" i="2"/>
  <c r="D62" i="2"/>
  <c r="C62" i="2"/>
  <c r="J61" i="2"/>
  <c r="I61" i="2"/>
  <c r="H61" i="2"/>
  <c r="G61" i="2"/>
  <c r="F61" i="2"/>
  <c r="E61" i="2"/>
  <c r="D61" i="2"/>
  <c r="C61" i="2"/>
  <c r="J60" i="2"/>
  <c r="I60" i="2"/>
  <c r="H60" i="2"/>
  <c r="G60" i="2"/>
  <c r="F60" i="2"/>
  <c r="E60" i="2"/>
  <c r="D60" i="2"/>
  <c r="C60" i="2"/>
  <c r="J59" i="2"/>
  <c r="H59" i="2"/>
  <c r="G59" i="2"/>
  <c r="F59" i="2"/>
  <c r="I59" i="2" s="1"/>
  <c r="E59" i="2"/>
  <c r="D59" i="2"/>
  <c r="C59" i="2"/>
  <c r="J58" i="2"/>
  <c r="I58" i="2"/>
  <c r="H58" i="2"/>
  <c r="G58" i="2"/>
  <c r="F58" i="2"/>
  <c r="E58" i="2"/>
  <c r="D58" i="2"/>
  <c r="C58" i="2"/>
  <c r="J57" i="2"/>
  <c r="H57" i="2"/>
  <c r="G57" i="2"/>
  <c r="F57" i="2"/>
  <c r="I57" i="2" s="1"/>
  <c r="E57" i="2"/>
  <c r="D57" i="2"/>
  <c r="C57" i="2"/>
  <c r="J56" i="2"/>
  <c r="I56" i="2"/>
  <c r="H56" i="2"/>
  <c r="G56" i="2"/>
  <c r="F56" i="2"/>
  <c r="E56" i="2"/>
  <c r="D56" i="2"/>
  <c r="C56" i="2"/>
  <c r="J55" i="2"/>
  <c r="H55" i="2"/>
  <c r="G55" i="2"/>
  <c r="F55" i="2"/>
  <c r="I55" i="2" s="1"/>
  <c r="E55" i="2"/>
  <c r="D55" i="2"/>
  <c r="C55" i="2"/>
  <c r="J54" i="2"/>
  <c r="I54" i="2"/>
  <c r="H54" i="2"/>
  <c r="G54" i="2"/>
  <c r="F54" i="2"/>
  <c r="E54" i="2"/>
  <c r="D54" i="2"/>
  <c r="D64" i="2" s="1"/>
  <c r="C54" i="2"/>
  <c r="C64" i="2" s="1"/>
  <c r="J53" i="2"/>
  <c r="J64" i="2" s="1"/>
  <c r="H53" i="2"/>
  <c r="H64" i="2" s="1"/>
  <c r="G53" i="2"/>
  <c r="G64" i="2" s="1"/>
  <c r="F53" i="2"/>
  <c r="F64" i="2" s="1"/>
  <c r="I64" i="2" s="1"/>
  <c r="E53" i="2"/>
  <c r="E64" i="2" s="1"/>
  <c r="D53" i="2"/>
  <c r="C53" i="2"/>
  <c r="J47" i="2"/>
  <c r="H47" i="2"/>
  <c r="G47" i="2"/>
  <c r="F47" i="2"/>
  <c r="I47" i="2" s="1"/>
  <c r="E47" i="2"/>
  <c r="D47" i="2"/>
  <c r="C47" i="2"/>
  <c r="J46" i="2"/>
  <c r="I46" i="2"/>
  <c r="H46" i="2"/>
  <c r="G46" i="2"/>
  <c r="F46" i="2"/>
  <c r="E46" i="2"/>
  <c r="D46" i="2"/>
  <c r="C46" i="2"/>
  <c r="J45" i="2"/>
  <c r="H45" i="2"/>
  <c r="G45" i="2"/>
  <c r="F45" i="2"/>
  <c r="I45" i="2" s="1"/>
  <c r="E45" i="2"/>
  <c r="D45" i="2"/>
  <c r="C45" i="2"/>
  <c r="J44" i="2"/>
  <c r="I44" i="2"/>
  <c r="H44" i="2"/>
  <c r="G44" i="2"/>
  <c r="F44" i="2"/>
  <c r="E44" i="2"/>
  <c r="D44" i="2"/>
  <c r="C44" i="2"/>
  <c r="J43" i="2"/>
  <c r="H43" i="2"/>
  <c r="G43" i="2"/>
  <c r="F43" i="2"/>
  <c r="I43" i="2" s="1"/>
  <c r="E43" i="2"/>
  <c r="D43" i="2"/>
  <c r="C43" i="2"/>
  <c r="J42" i="2"/>
  <c r="I42" i="2"/>
  <c r="H42" i="2"/>
  <c r="G42" i="2"/>
  <c r="F42" i="2"/>
  <c r="E42" i="2"/>
  <c r="D42" i="2"/>
  <c r="C42" i="2"/>
  <c r="J41" i="2"/>
  <c r="H41" i="2"/>
  <c r="G41" i="2"/>
  <c r="F41" i="2"/>
  <c r="I41" i="2" s="1"/>
  <c r="E41" i="2"/>
  <c r="D41" i="2"/>
  <c r="C41" i="2"/>
  <c r="J40" i="2"/>
  <c r="I40" i="2"/>
  <c r="H40" i="2"/>
  <c r="G40" i="2"/>
  <c r="F40" i="2"/>
  <c r="E40" i="2"/>
  <c r="D40" i="2"/>
  <c r="C40" i="2"/>
  <c r="J39" i="2"/>
  <c r="H39" i="2"/>
  <c r="G39" i="2"/>
  <c r="F39" i="2"/>
  <c r="I39" i="2" s="1"/>
  <c r="E39" i="2"/>
  <c r="D39" i="2"/>
  <c r="C39" i="2"/>
  <c r="J38" i="2"/>
  <c r="I38" i="2"/>
  <c r="H38" i="2"/>
  <c r="G38" i="2"/>
  <c r="F38" i="2"/>
  <c r="E38" i="2"/>
  <c r="D38" i="2"/>
  <c r="C38" i="2"/>
  <c r="J37" i="2"/>
  <c r="H37" i="2"/>
  <c r="G37" i="2"/>
  <c r="F37" i="2"/>
  <c r="I37" i="2" s="1"/>
  <c r="E37" i="2"/>
  <c r="D37" i="2"/>
  <c r="C37" i="2"/>
  <c r="J36" i="2"/>
  <c r="I36" i="2"/>
  <c r="H36" i="2"/>
  <c r="G36" i="2"/>
  <c r="F36" i="2"/>
  <c r="E36" i="2"/>
  <c r="D36" i="2"/>
  <c r="D48" i="2" s="1"/>
  <c r="C36" i="2"/>
  <c r="C48" i="2" s="1"/>
  <c r="J35" i="2"/>
  <c r="J48" i="2" s="1"/>
  <c r="H35" i="2"/>
  <c r="H48" i="2" s="1"/>
  <c r="G35" i="2"/>
  <c r="G48" i="2" s="1"/>
  <c r="F35" i="2"/>
  <c r="F48" i="2" s="1"/>
  <c r="I48" i="2" s="1"/>
  <c r="E35" i="2"/>
  <c r="E48" i="2" s="1"/>
  <c r="D35" i="2"/>
  <c r="C35" i="2"/>
  <c r="K15" i="2"/>
  <c r="N14" i="2" s="1"/>
  <c r="F15" i="2"/>
  <c r="K14" i="2"/>
  <c r="J14" i="2"/>
  <c r="J15" i="2" s="1"/>
  <c r="N13" i="2" s="1"/>
  <c r="H14" i="2"/>
  <c r="I14" i="2" s="1"/>
  <c r="G14" i="2"/>
  <c r="F14" i="2"/>
  <c r="E14" i="2"/>
  <c r="D14" i="2"/>
  <c r="C14" i="2"/>
  <c r="K13" i="2"/>
  <c r="J13" i="2"/>
  <c r="G13" i="2"/>
  <c r="G15" i="2" s="1"/>
  <c r="F13" i="2"/>
  <c r="E13" i="2"/>
  <c r="E15" i="2" s="1"/>
  <c r="D13" i="2"/>
  <c r="C13" i="2"/>
  <c r="C15" i="2" s="1"/>
  <c r="J9" i="2"/>
  <c r="I9" i="2"/>
  <c r="H9" i="2"/>
  <c r="G9" i="2"/>
  <c r="E9" i="2"/>
  <c r="C9" i="2"/>
  <c r="D9" i="2" s="1"/>
  <c r="F9" i="2" s="1"/>
  <c r="I6" i="1"/>
  <c r="H6" i="1"/>
  <c r="G6" i="1"/>
  <c r="F6" i="1"/>
  <c r="E6" i="1"/>
  <c r="D6" i="1"/>
  <c r="C6" i="1"/>
  <c r="B6" i="1"/>
  <c r="I5" i="1"/>
  <c r="I7" i="1" s="1"/>
  <c r="H5" i="1"/>
  <c r="H7" i="1" s="1"/>
  <c r="G5" i="1"/>
  <c r="G7" i="1" s="1"/>
  <c r="F5" i="1"/>
  <c r="F7" i="1" s="1"/>
  <c r="E5" i="1"/>
  <c r="E7" i="1" s="1"/>
  <c r="D5" i="1"/>
  <c r="D7" i="1" s="1"/>
  <c r="C5" i="1"/>
  <c r="C7" i="1" s="1"/>
  <c r="B5" i="1"/>
  <c r="B7" i="1" s="1"/>
  <c r="I35" i="2" l="1"/>
  <c r="I53" i="2"/>
  <c r="H13" i="2"/>
  <c r="H15" i="2" s="1"/>
  <c r="D15" i="2"/>
  <c r="I15" i="2" s="1"/>
  <c r="I13" i="2" l="1"/>
</calcChain>
</file>

<file path=xl/sharedStrings.xml><?xml version="1.0" encoding="utf-8"?>
<sst xmlns="http://schemas.openxmlformats.org/spreadsheetml/2006/main" count="5336" uniqueCount="2253">
  <si>
    <t>Bitirmə layihəsi — Test case-lər</t>
  </si>
  <si>
    <t>Tamara Məlikova · turbo.az (Web UI) + Banking API (https://api.anarabbas.com)</t>
  </si>
  <si>
    <t>Hissə</t>
  </si>
  <si>
    <t>Test case</t>
  </si>
  <si>
    <t>Automation</t>
  </si>
  <si>
    <t>Manual</t>
  </si>
  <si>
    <t>Regression</t>
  </si>
  <si>
    <t>PASS ✓</t>
  </si>
  <si>
    <t>FAIL ✗</t>
  </si>
  <si>
    <t>Blocked</t>
  </si>
  <si>
    <t>Not Run</t>
  </si>
  <si>
    <t>Web — turbo.az</t>
  </si>
  <si>
    <t>API — GRAD-101…303</t>
  </si>
  <si>
    <t>Cəmi</t>
  </si>
  <si>
    <t>Sheet-lər</t>
  </si>
  <si>
    <t>Web Test Cases</t>
  </si>
  <si>
    <t>turbo.az test case-ləri (Execution Type, Regression, Manual/Automation əsaslandırması ilə)</t>
  </si>
  <si>
    <t>Web Test Scenarios</t>
  </si>
  <si>
    <t>13 test ssenarisi və onlara bağlı test case sayları</t>
  </si>
  <si>
    <t>Web Test Scope</t>
  </si>
  <si>
    <t>Scope daxili / xarici və fərziyyələr</t>
  </si>
  <si>
    <t>Tapıntılar</t>
  </si>
  <si>
    <t>Manual və avtomat icra zamanı tapılan bug-lar və uyğunsuzluqlar (əlaqəli test case ilə)</t>
  </si>
  <si>
    <t>API Test Cases</t>
  </si>
  <si>
    <t>API test case-ləri, AC Reference sütunu ilə</t>
  </si>
  <si>
    <t>API Coverage</t>
  </si>
  <si>
    <t>Task üzrə AC, test case, avtomat / manual sayları</t>
  </si>
  <si>
    <t>API Traceability</t>
  </si>
  <si>
    <t>Hər acceptance criterion → test case-lər (69 AC-nin hamısı əhatə olunub)</t>
  </si>
  <si>
    <t>API Grooming Questions</t>
  </si>
  <si>
    <t>Backlog-dakı qaranlıq və ziddiyyətli yerlər üzrə suallar</t>
  </si>
  <si>
    <t>İcra qeydləri</t>
  </si>
  <si>
    <t>Avtomat icra</t>
  </si>
  <si>
    <t>CallMan icrası</t>
  </si>
  <si>
    <t>Mühit müşahidəsi</t>
  </si>
  <si>
    <t>turbo.az bəzən səhifəni 3 dəqiqədən çox yükləyir (reklam bannerləri). Bu halda test TimeoutException ilə düşür və təkrar icrada keçir — test xətası deyil</t>
  </si>
  <si>
    <t>Manual test case-lər</t>
  </si>
  <si>
    <t>Actual Result və Status sütunları manual icradan sonra doldurulur (Status: PASS ✓ / FAIL ✗ / Blocked)</t>
  </si>
  <si>
    <t>Test Report</t>
  </si>
  <si>
    <t>Test Report — Bitirmə layihəsi</t>
  </si>
  <si>
    <t>turbo.az (Web UI) + Banking API (https://api.anarabbas.com) · Hazırladı: Tamara Məlikova · Hesabat tarixi: 09.10.2026</t>
  </si>
  <si>
    <t>Bu sheet test case sheet-lərindən formullarla hesablanır: Status dəyişəndə bütün rəqəmlər və qrafiklər avtomatik yenilənir.</t>
  </si>
  <si>
    <t>Əsas göstəricilər</t>
  </si>
  <si>
    <t>Ümumi</t>
  </si>
  <si>
    <t>İcra olunub</t>
  </si>
  <si>
    <t>Keçdi (PASS)</t>
  </si>
  <si>
    <t>Keçmə faizi</t>
  </si>
  <si>
    <t>Avtomatlaşdırma</t>
  </si>
  <si>
    <t>Web + API</t>
  </si>
  <si>
    <t>1. İcra nəticələri</t>
  </si>
  <si>
    <t>Avtomat</t>
  </si>
  <si>
    <t>Keçmə faizi = PASS / (PASS + FAIL). Blocked və Not Run icra olunmuş sayılmır.</t>
  </si>
  <si>
    <t>2. Web (turbo.az) — modullar üzrə</t>
  </si>
  <si>
    <t>Modul</t>
  </si>
  <si>
    <t>Əsas axtarış</t>
  </si>
  <si>
    <t>Qiymət filtri</t>
  </si>
  <si>
    <t>Buraxılış ili filtri</t>
  </si>
  <si>
    <t>Əlavə filtrlər</t>
  </si>
  <si>
    <t>Sıralama</t>
  </si>
  <si>
    <t>Səhifələmə</t>
  </si>
  <si>
    <t>Elan səhifəsi</t>
  </si>
  <si>
    <t>Seçilmişlər</t>
  </si>
  <si>
    <t>Dil və naviqasiya</t>
  </si>
  <si>
    <t>Giriş (Autentifikasiya)</t>
  </si>
  <si>
    <t>Yeni elan</t>
  </si>
  <si>
    <t>Ödənişli xidmətlər</t>
  </si>
  <si>
    <t>UI/UX</t>
  </si>
  <si>
    <t>3. API — task-lar üzrə</t>
  </si>
  <si>
    <t>Task</t>
  </si>
  <si>
    <t>Highest / High</t>
  </si>
  <si>
    <t>Qısa ad</t>
  </si>
  <si>
    <t>GRAD-101 · POST /beneficiaries</t>
  </si>
  <si>
    <t>GRAD-101</t>
  </si>
  <si>
    <t>GRAD-102 · GET /beneficiaries</t>
  </si>
  <si>
    <t>GRAD-102</t>
  </si>
  <si>
    <t>GRAD-103 · DELETE /beneficiaries/{id}</t>
  </si>
  <si>
    <t>GRAD-103</t>
  </si>
  <si>
    <t>GRAD-201 · POST /cards</t>
  </si>
  <si>
    <t>GRAD-201</t>
  </si>
  <si>
    <t>GRAD-202 · GET /cards/{id}</t>
  </si>
  <si>
    <t>GRAD-202</t>
  </si>
  <si>
    <t>GRAD-203 · POST /cards/{id}/block</t>
  </si>
  <si>
    <t>GRAD-203</t>
  </si>
  <si>
    <t>GRAD-204 · POST /cards/{id}/unblock</t>
  </si>
  <si>
    <t>GRAD-204</t>
  </si>
  <si>
    <t>GRAD-301 · GET /billers</t>
  </si>
  <si>
    <t>GRAD-301</t>
  </si>
  <si>
    <t>GRAD-302 · POST /bill-payments</t>
  </si>
  <si>
    <t>GRAD-302</t>
  </si>
  <si>
    <t>GRAD-303 · GET /bill-payments</t>
  </si>
  <si>
    <t>GRAD-303</t>
  </si>
  <si>
    <t>Ümumi qaydalar (auth, sandbox, rate limit)</t>
  </si>
  <si>
    <t>Traceability: backlog-dakı 69 acceptance criterion-un hamısı test case-lərlə əhatə olunub ("API Traceability" sheet-i).</t>
  </si>
  <si>
    <t>4. Avtomat icralar və stabillik</t>
  </si>
  <si>
    <t>Paket</t>
  </si>
  <si>
    <t>Tarix</t>
  </si>
  <si>
    <t>İcra</t>
  </si>
  <si>
    <t>Ssenari</t>
  </si>
  <si>
    <t>Keçdi</t>
  </si>
  <si>
    <t>Düşdü</t>
  </si>
  <si>
    <t>Nəticə</t>
  </si>
  <si>
    <t>Qeyd</t>
  </si>
  <si>
    <t>API (Gauge + RestAssured)</t>
  </si>
  <si>
    <t>02.10.2026</t>
  </si>
  <si>
    <t>1-ci</t>
  </si>
  <si>
    <t>Stabil</t>
  </si>
  <si>
    <t>2-ci</t>
  </si>
  <si>
    <t>3-cü</t>
  </si>
  <si>
    <t>161 ssenari = 156 test case (data-driven cədvəllərdə hər sətir ayrıca ssenari)</t>
  </si>
  <si>
    <t>Web (Gauge + Selenium)</t>
  </si>
  <si>
    <t>Son tam icra</t>
  </si>
  <si>
    <t>İlk icralardan sonra locator-lar real DOM-a görə dəqiqləşdirildi</t>
  </si>
  <si>
    <t>Təkrar icra</t>
  </si>
  <si>
    <t>Mühit</t>
  </si>
  <si>
    <t>TC-SRCH-004: sayt 3 dəq.+ cavab vermədi (TimeoutException); təkrar icrada keçdi</t>
  </si>
  <si>
    <t>CallMan kolleksiyası</t>
  </si>
  <si>
    <t>Runner</t>
  </si>
  <si>
    <t>75 avtomat yoxlama (pm.test); failures = []</t>
  </si>
  <si>
    <t>Mənbə: Gauge HTML hesabatları (reports/html-report) və CallMan Runner nəticələri, 02.10.2026. Bu cədvəldəki rəqəmlər icra hesabatlarından köçürülüb (formul deyil).</t>
  </si>
  <si>
    <t>5. Tapıntılar</t>
  </si>
  <si>
    <t>ID</t>
  </si>
  <si>
    <t>Növ</t>
  </si>
  <si>
    <t>Severity</t>
  </si>
  <si>
    <t>Priority</t>
  </si>
  <si>
    <t>Status</t>
  </si>
  <si>
    <t>Başlıq</t>
  </si>
  <si>
    <t>Severity üzrə</t>
  </si>
  <si>
    <t>6. Nəticə</t>
  </si>
  <si>
    <t>• Avtomat regression paketi (185 test case: 156 API + 29 Web) stabildir: API paketi ardıcıl 3 icrada 161/161 keçdi; Web paketində yalnız mühitlə bağlı (saytın ləngiməsi) düşmə müşahidə olundu, test xətası yoxdur.</t>
  </si>
  <si>
    <t>• API backlog-unun 10 task-ı və 69 acceptance criterion-u tam əhatə olunub. Kritik bug tapılmayıb. Sənəddəki ziddiyyət (GRAD-201 AC-5: 403 / ümumi qayda: 404) qeydə alınıb, API AC-5-ə uyğun işləyir.</t>
  </si>
  <si>
    <t>• turbo.az-da 3 uyğunsuzluq tapılıb: ziddiyyətli vəziyyət filtrləri (UYG-001), təsvirin xəbərdarlıqsız kəsilməsi (UYG-002, Major), qiymət sahəsində onluq ayırıcının bildirilməməsi (UYG-003).</t>
  </si>
  <si>
    <t>• TC-API-GEN-005 (rate limit) paylaşılan serverə yük yaratmamaq üçün Blocked qeyd edilib; ayrıca mühitdə icra edilməlidir.</t>
  </si>
  <si>
    <t>• Tövsiyə: UYG-002 növbəti relizdə düzəldilməlidir (görünməz data itkisi); UYG-001 və UYG-003 UX təkmilləşdirməsi kimi planlaşdırıla bilər.</t>
  </si>
  <si>
    <t>TC ID</t>
  </si>
  <si>
    <t>TC Title</t>
  </si>
  <si>
    <t>Module/Feature</t>
  </si>
  <si>
    <t>Test Type</t>
  </si>
  <si>
    <t>Preconditions</t>
  </si>
  <si>
    <t>Test Steps</t>
  </si>
  <si>
    <t>Test Data</t>
  </si>
  <si>
    <t>Expected Result</t>
  </si>
  <si>
    <t>Actual Result</t>
  </si>
  <si>
    <t>Notes</t>
  </si>
  <si>
    <t>Execution Type</t>
  </si>
  <si>
    <t>Manual / Automation əsaslandırması</t>
  </si>
  <si>
    <t>TC-SRCH-001</t>
  </si>
  <si>
    <t>Marka filtri ilə axtarışın yoxlanılması</t>
  </si>
  <si>
    <t>High</t>
  </si>
  <si>
    <t>Functional</t>
  </si>
  <si>
    <t>Brauzerdə https://turbo.az ana səhifəsi açıqdır</t>
  </si>
  <si>
    <t>1. Marka siyahısından Toyota seç
2. "Elanları göstər" düyməsinə kliklə
3. Nəticə siyahısındakı elan başlıqlarına bax</t>
  </si>
  <si>
    <t>Marka: Toyota</t>
  </si>
  <si>
    <t>Siyahıdakı ("ELANLAR" bölməsi) bütün elanların başlığı "Toyota" ilə başlayır; ən azı 1 elan göstərilir</t>
  </si>
  <si>
    <t>Siyahıdakı bütün elanlar Toyota-dır ("Toyota almaq", ~2800 elan). Avtomat icra (Gauge + Selenium, 02.10.2026)</t>
  </si>
  <si>
    <t>TS-01</t>
  </si>
  <si>
    <t>Yes</t>
  </si>
  <si>
    <t>Saytın əsas biznes axınıdır, hər relizdə yoxlanmalıdır. Konkret elana yox, qaydaya (bütün başlıqlar Toyota) assert olunur, buna görə data dəyişsə də stabildir</t>
  </si>
  <si>
    <t>TC-SRCH-002</t>
  </si>
  <si>
    <t>Marka və model filtri ilə axtarışın yoxlanılması</t>
  </si>
  <si>
    <t>1. Marka: Toyota seç
2. Model: Camry seç
3. "Elanları göstər" düyməsinə kliklə</t>
  </si>
  <si>
    <t>Marka: Toyota / Model: Camry</t>
  </si>
  <si>
    <t>Siyahıdakı bütün elanların başlığı "Toyota Camry" ilə başlayır</t>
  </si>
  <si>
    <t>Bütün elanlar Toyota Camry-dir. Avtomat icra (Gauge + Selenium, 02.10.2026)</t>
  </si>
  <si>
    <t>Ən çox istifadə olunan axtarış kombinasiyasıdır. Nəticə qayda ilə yoxlanılır, stabildir</t>
  </si>
  <si>
    <t>TC-SRCH-003</t>
  </si>
  <si>
    <t>Marka dəyişdikdə model siyahısının yenilənməsi</t>
  </si>
  <si>
    <t>Medium</t>
  </si>
  <si>
    <t>1. Marka: Toyota seç
2. Model siyahısını aç
3. Markanı BMW-yə dəyiş
4. Model siyahısını yenidən aç</t>
  </si>
  <si>
    <t>Marka: Toyota → BMW</t>
  </si>
  <si>
    <t>Toyota seçildikdə model siyahısında Toyota modelləri (Camry) var, BMW modelləri (X5) yoxdur; BMW seçildikdə BMW modelləri (X5) göstərilir, Toyota modelləri (Camry) göstərilmir</t>
  </si>
  <si>
    <t>Toyota seçildikdə Camry var, X5 yoxdur; BMW seçildikdə X5 var, Camry yoxdur. Avtomat icra (Gauge + Selenium, 02.10.2026)</t>
  </si>
  <si>
    <t>Asılı dropdown məntiqidir, frontend dəyişikliklərində asanlıqla qırılır. Model siyahısı sabit kataloqdan gəlir, elanlardan asılı deyil → stabil</t>
  </si>
  <si>
    <t>TC-SRCH-004</t>
  </si>
  <si>
    <t>Şəhər filtri ilə axtarışın yoxlanılması</t>
  </si>
  <si>
    <t>1. Şəhər siyahısından Gəncə seç
2. "Elanları göstər" düyməsinə kliklə
3. Elan kartlarında şəhər adına bax</t>
  </si>
  <si>
    <t>Şəhər: Gəncə</t>
  </si>
  <si>
    <t>Siyahıdakı bütün elan kartlarında şəhər "Gəncə" göstərilir</t>
  </si>
  <si>
    <t>Bütün elan kartlarında şəhər "Gəncə"-dir. Avtomat icra (Gauge + Selenium, 02.10.2026)</t>
  </si>
  <si>
    <t>Əsas filtrdir. Hər kartda şəhər adı göstərildiyi üçün assert sadə və etibarlıdır</t>
  </si>
  <si>
    <t>TC-SRCH-005</t>
  </si>
  <si>
    <t>"Yeni" avtomobil filtrinin yoxlanılması</t>
  </si>
  <si>
    <t>1. "Yeni" seçimini et
2. "Elanları göstər" düyməsinə kliklə
3. Siyahıdakı ilk 3 elanı ayrı-ayrılıqda aç
4. Xüsusiyyətlər blokunda "Yeni" sahəsinə bax</t>
  </si>
  <si>
    <t>Vəziyyət: Yeni</t>
  </si>
  <si>
    <t>Açılan hər elanda "Yeni: Bəli" göstərilir</t>
  </si>
  <si>
    <t>İlk 3 elanın hər birində "Yeni: Bəli" göstərilir. Avtomat icra (Gauge + Selenium, 02.10.2026)</t>
  </si>
  <si>
    <t>Alıcının əsas seçimlərindən biridir. İlk 3 elanla məhdudlaşdırılır ki, test sürətli qalsın</t>
  </si>
  <si>
    <t>TC-SRCH-006</t>
  </si>
  <si>
    <t>"Sürülmüş" avtomobil filtrinin yoxlanılması</t>
  </si>
  <si>
    <t>1. "Sürülmüş" seçimini et
2. "Elanları göstər" düyməsinə kliklə
3. İlk 3 elanı aç və "Yeni" sahəsinə bax</t>
  </si>
  <si>
    <t>Vəziyyət: Sürülmüş</t>
  </si>
  <si>
    <t>Açılan hər elanda "Yeni: Xeyr" göstərilir</t>
  </si>
  <si>
    <t>Gözlənilən nəticə təsdiqləndi: Açılan hər elanda "Yeni: Xeyr" göstərilir. Manual icra (02.10.2026)</t>
  </si>
  <si>
    <t>No</t>
  </si>
  <si>
    <t>TC-SRCH-005 ilə eyni məntiqi yoxlayır (güzgü halı). Avtomatlaşdırmaq regression-a əlavə dəyər vermir, test müddətini artırır</t>
  </si>
  <si>
    <t>TC-SRCH-007</t>
  </si>
  <si>
    <t>Marka, model və şəhər kombinasiyası ilə axtarış</t>
  </si>
  <si>
    <t>1. Marka: Hyundai seç
2. Model: Santa Fe seç
3. Şəhər: Bakı seç
4. "Elanları göstər" düyməsinə kliklə</t>
  </si>
  <si>
    <t>Marka: Hyundai / Model: Santa Fe / Şəhər: Bakı</t>
  </si>
  <si>
    <t>Bütün elanların başlığı "Hyundai Santa Fe", şəhəri "Bakı"-dır</t>
  </si>
  <si>
    <t>Bütün elanlar Hyundai Santa Fe və Bakı-dır. Avtomat icra (Gauge + Selenium, 02.10.2026)</t>
  </si>
  <si>
    <t>Bir neçə filtrin birlikdə işləməsini yoxlayır (filtrlər bir-birini sıfırlamamalıdır). Real istifadəçi ssenarisidir</t>
  </si>
  <si>
    <t>TC-SRCH-008</t>
  </si>
  <si>
    <t>Nəticəsi olmayan filtr kombinasiyasının yoxlanılması</t>
  </si>
  <si>
    <t>Negative</t>
  </si>
  <si>
    <t>1. Marka: Aston Martin seç
2. Şəhər: Lerik seç
3. "Elanları göstər" düyməsinə kliklə</t>
  </si>
  <si>
    <t>Marka: Aston Martin / Şəhər: Lerik</t>
  </si>
  <si>
    <t>Heç bir Aston Martin elanı göstərilmir, "elan tapılmadı" tipli məlumat mesajı çıxır; səhifə xəta vermir</t>
  </si>
  <si>
    <t>Aston Martin + Lerik üçün elan yoxdur, "tapılmadı" mesajı göstərilir, səhifə xəta vermir. Avtomat icra (Gauge + Selenium, 02.10.2026)</t>
  </si>
  <si>
    <t>Boş nəticə halı tez-tez unudulan və regression-da qırılan haldır. Seçilmiş kombinasiyada elanın yaranma ehtimalı praktik olaraq sıfırdır</t>
  </si>
  <si>
    <t>TC-SRCH-009</t>
  </si>
  <si>
    <t>Filtrlərin URL-də saxlanması və səhifə yeniləndikdə qalması</t>
  </si>
  <si>
    <t>1. Marka: Toyota seç və axtar
2. URL-ə bax
3. Səhifəni yenilə (F5)
4. Filtr sahəsinə və nəticələrə bax</t>
  </si>
  <si>
    <t>URL-də marka parametri (q[make][]) var; yeniləmədən sonra Toyota seçili qalır, bütün elanlar yenə Toyota-dır</t>
  </si>
  <si>
    <t>URL-də marka parametri var; yeniləmədən sonra Toyota seçili qalır, bütün elanlar Toyota-dır. Avtomat icra (Gauge + Selenium, 02.10.2026)</t>
  </si>
  <si>
    <t>İstifadəçilər axtarış linkini paylaşır. Yoxlama URL və sahə dəyərləri üzərindədir, data dəyişməsindən asılı deyil</t>
  </si>
  <si>
    <t>TC-SRCH-010</t>
  </si>
  <si>
    <t>"Sıfırla" düyməsi ilə filtrlərin təmizlənməsi</t>
  </si>
  <si>
    <t>1. Marka: Toyota, Şəhər: Bakı, Qiymət min: 10000 seç
2. "Sıfırla" düyməsinə kliklə
3. Filtr sahələrinə bax</t>
  </si>
  <si>
    <t>Marka: Toyota / Şəhər: Bakı / Qiymət min: 10000</t>
  </si>
  <si>
    <t>Bütün filtr sahələri ilkin (boş) vəziyyətə qayıdır</t>
  </si>
  <si>
    <t>"Sıfırla"-dan sonra marka, şəhər və qiymət sahələri boşalır. Avtomat icra (Gauge + Selenium, 02.10.2026)</t>
  </si>
  <si>
    <t>Sadə, sürətli və tam stabil testdir; filtr formasının vəziyyət idarəsini qoruyur</t>
  </si>
  <si>
    <t>TC-SRCH-011</t>
  </si>
  <si>
    <t>"Sifarişlə" bölməsinin filtrləri</t>
  </si>
  <si>
    <t>1. Yuxarı menyuda "Sifarişlə" linkinə kliklə
2. URL-ə və elanlara bax</t>
  </si>
  <si>
    <t>Menyu: Sifarişlə</t>
  </si>
  <si>
    <t>URL-də availability_status=order parametri var, yalnız sifarişlə gətirilən elanlar göstərilir</t>
  </si>
  <si>
    <t>Gözlənilən nəticə təsdiqləndi: URL-də availability_status=order parametri var, yalnız sifarişlə gətirilən elanlar göstərilir. Manual icra (02.10.2026)</t>
  </si>
  <si>
    <t>Elanın "sifarişlə" olması kartda həmişə göstərilmir; nəticəni detal səhifədə manual yoxlamaq lazımdır</t>
  </si>
  <si>
    <t>TC-SRCH-012</t>
  </si>
  <si>
    <t>Ana səhifədəki "Bu gün: N yeni elan" linki</t>
  </si>
  <si>
    <t>Low</t>
  </si>
  <si>
    <t>1. Filtr blokunun altındakı "Bu gün: N yeni elan" linkinə kliklə</t>
  </si>
  <si>
    <t>Link</t>
  </si>
  <si>
    <t>Bütün elanlar səhifəsi (/autos) açılır, xəta yoxdur</t>
  </si>
  <si>
    <t>Gözlənilən nəticə təsdiqləndi: Bütün elanlar səhifəsi (/autos) açılır, xəta yoxdur. Manual icra (02.10.2026)</t>
  </si>
  <si>
    <t>Aşağı prioritetli yoxlamadır, regression-a əlavə dəyəri azdır</t>
  </si>
  <si>
    <t>TC-SRCH-013</t>
  </si>
  <si>
    <t>Footer-dəki marka linki ilə axtarış</t>
  </si>
  <si>
    <t>1. Səhifənin sonundakı marka siyahısında "Toyota(N)" linkinə kliklə
2. Nəticə başlığındakı elan sayını linkdəki sayla müqayisə et</t>
  </si>
  <si>
    <t>Link: Toyota(N)</t>
  </si>
  <si>
    <t>Toyota filtrlənmiş siyahı açılır; başlıqdakı say linkdəki saya uyğundur (kiçik fərq dinamik elanlar hesabınadır)</t>
  </si>
  <si>
    <t>Gözlənilən nəticə təsdiqləndi: Toyota filtrlənmiş siyahı açılır; başlıqdakı say linkdəki saya uyğundur (kiçik fərq dinamik elanlar hesabınadır). Manual icra (02.10.2026)</t>
  </si>
  <si>
    <t>Say dinamikdir, dəqiq müqayisə avtomatda flaky olar; marka filtri artıq TC-SRCH-001-də avtomatlaşdırılıb</t>
  </si>
  <si>
    <t>TC-SRCH-014</t>
  </si>
  <si>
    <t>Heç bir filtr seçmədən axtarış</t>
  </si>
  <si>
    <t>1. Heç bir filtr seçmə
2. "Elanları göstər" düyməsinə kliklə</t>
  </si>
  <si>
    <t>Bütün filtrlər boş</t>
  </si>
  <si>
    <t>Bütün elanlar göstərilir, xəta mesajı çıxmır</t>
  </si>
  <si>
    <t>Gözlənilən nəticə təsdiqləndi: Bütün elanlar göstərilir, xəta mesajı çıxmır. Manual icra (02.10.2026)</t>
  </si>
  <si>
    <t>TC-PRICE-001</t>
  </si>
  <si>
    <t>Qiymət aralığı ilə filtrləmənin yoxlanılması</t>
  </si>
  <si>
    <t>1. Qiymət min sahəsinə 10000 daxil et
2. Qiymət maks sahəsinə 20000 daxil et
3. Valyuta: AZN (default)
4. "Elanları göstər" düyməsinə kliklə</t>
  </si>
  <si>
    <t>Min: 10000 / Maks: 20000 / Valyuta: AZN</t>
  </si>
  <si>
    <t>"ELANLAR" siyahısındakı ₼ ilə göstərilən bütün qiymətlər 10 000 – 20 000 aralığındadır</t>
  </si>
  <si>
    <t>Bütün ₼ qiymətləri 10 000 – 20 000 aralığındadır. Avtomat icra (Gauge + Selenium, 02.10.2026)</t>
  </si>
  <si>
    <t>TS-02</t>
  </si>
  <si>
    <t>Ən kritik filtrlərdən biridir. Assert yalnız ₼ qiymətləri üzərində aparılır (USD/EUR elanlar konvertasiya olunduğu üçün kənarda qalır) → stabil</t>
  </si>
  <si>
    <t>TC-PRICE-002</t>
  </si>
  <si>
    <t>Yalnız minimum qiymətlə filtrləmə</t>
  </si>
  <si>
    <t>1. Qiymət min sahəsinə 50000 daxil et
2. Maks sahəsini boş burax
3. "Elanları göstər" düyməsinə kliklə</t>
  </si>
  <si>
    <t>Min: 50000 / Maks: boş</t>
  </si>
  <si>
    <t>Bütün qiymətlər ≥ 50 000 ₼</t>
  </si>
  <si>
    <t>Gözlənilən nəticə təsdiqləndi: Bütün qiymətlər ≥ 50 000 ₼. Manual icra (02.10.2026)</t>
  </si>
  <si>
    <t>Eyni filtr məntiqi TC-PRICE-001-də avtomatlaşdırılıb. Ayrıca avtomatlaşdırmaq təkrarçılıqdır</t>
  </si>
  <si>
    <t>TC-PRICE-003</t>
  </si>
  <si>
    <t>Yalnız maksimum qiymətlə filtrləmə</t>
  </si>
  <si>
    <t>1. Min sahəsini boş burax
2. Qiymət maks sahəsinə 5000 daxil et
3. "Elanları göstər" düyməsinə kliklə</t>
  </si>
  <si>
    <t>Min: boş / Maks: 5000</t>
  </si>
  <si>
    <t>Bütün qiymətlər ≤ 5 000 ₼</t>
  </si>
  <si>
    <t>Gözlənilən nəticə təsdiqləndi: Bütün qiymətlər ≤ 5 000 ₼. Manual icra (02.10.2026)</t>
  </si>
  <si>
    <t>TC-PRICE-004</t>
  </si>
  <si>
    <t>Minimum və maksimum qiymətin bərabər olması</t>
  </si>
  <si>
    <t>Boundary Value</t>
  </si>
  <si>
    <t>1. Qiymət min sahəsinə 15000 daxil et
2. Qiymət maks sahəsinə 15000 daxil et
3. "Elanları göstər" düyməsinə kliklə</t>
  </si>
  <si>
    <t>Min: 15000 / Maks: 15000</t>
  </si>
  <si>
    <t>Göstərilən bütün ₼ qiymətləri tam 15 000-dir (sərhəd dəyərləri daxil edilir); nəticə yoxdursa, "elan tapılmadı" mesajı çıxır</t>
  </si>
  <si>
    <t>Göstərilən bütün ₼ qiymətləri 15 000-dir. Avtomat icra (Gauge + Selenium, 02.10.2026)</t>
  </si>
  <si>
    <t>Sərhəd daxilolma (inclusive) səhvləri (&lt; əvəzinə ≤) regression-da tez-tez çıxır. Hər iki nəticə halı assert-də nəzərə alınıb → stabil</t>
  </si>
  <si>
    <t>TC-PRICE-005</t>
  </si>
  <si>
    <t>Minimum qiymətin maksimumdan böyük olması</t>
  </si>
  <si>
    <t>1. Qiymət min sahəsinə 30000 daxil et
2. Qiymət maks sahəsinə 10000 daxil et
3. "Elanları göstər" düyməsinə kliklə</t>
  </si>
  <si>
    <t>Min: 30000 / Maks: 10000</t>
  </si>
  <si>
    <t>Sistem məntiqsiz aralığı idarə edir: elan göstərilmir və ya xəbərdarlıq çıxır; səhifə xəta vermir</t>
  </si>
  <si>
    <t>Gözlənilən nəticə təsdiqləndi: Sistem məntiqsiz aralığı idarə edir: elan göstərilmir və ya xəbərdarlıq çıxır; səhifə xəta vermir. Manual icra (02.10.2026)</t>
  </si>
  <si>
    <t>Gözlənilən davranış sənədləşdirilməyib. Əvvəl manual icra edib faktiki davranışı qeydə alırıq; davranış təsdiqlənəndən sonra avtomatlaşdırmağa namizəddir</t>
  </si>
  <si>
    <t>TC-PRICE-006</t>
  </si>
  <si>
    <t>Qiymət sahəsinə mənfi dəyərin daxil edilməsi</t>
  </si>
  <si>
    <t>1. Qiymət min sahəsinə mənfi işarəsi "-" daxil et
2. Sahədəki dəyərə bax</t>
  </si>
  <si>
    <t>Min: "-"</t>
  </si>
  <si>
    <t>Sahə "-" simvolunu qəbul etmir, sahə boş qalır</t>
  </si>
  <si>
    <t>"-" daxil edildikdə sahə boş qalır. Avtomat icra (Gauge + Selenium, 02.10.2026)</t>
  </si>
  <si>
    <t>Input validasiyası frontend dəyişikliklərində asan qırılır. Yoxlama yalnız input dəyəri üzərindədir, elan datasından asılı deyil</t>
  </si>
  <si>
    <t>TC-PRICE-007</t>
  </si>
  <si>
    <t>Qiymət sahəsinə hərf daxil edilməsi</t>
  </si>
  <si>
    <t>1. Qiymət min sahəsinə abcd daxil et
2. Sahədəki dəyərə bax</t>
  </si>
  <si>
    <t>Min: abcd</t>
  </si>
  <si>
    <t>Sahə hərfləri qəbul etmir, sahə boş qalır</t>
  </si>
  <si>
    <t>"abcd" daxil edildikdə sahə boş qalır. Avtomat icra (Gauge + Selenium, 02.10.2026)</t>
  </si>
  <si>
    <t>Input validasiyası frontend dəyişikliklərində asan qırılır. Yoxlama yalnız input dəyəri üzərindədir → stabil</t>
  </si>
  <si>
    <t>TC-PRICE-008</t>
  </si>
  <si>
    <t>Qiymət sahəsinə kopyalanmış simvolların yapışdırılması</t>
  </si>
  <si>
    <t>1. Başqa yerdən %$#@ simvollarını kopyala
2. Qiymət min sahəsinə yapışdır (Ctrl+V)
3. Sahədəki dəyərə bax</t>
  </si>
  <si>
    <t>Min: %$#@ (copy-paste)</t>
  </si>
  <si>
    <t>Sahə simvolları qəbul etmir, sahə boş qalır</t>
  </si>
  <si>
    <t>Gözlənilən nəticə təsdiqləndi: Sahə simvolları qəbul etmir, sahə boş qalır. Manual icra (02.10.2026)</t>
  </si>
  <si>
    <t>Clipboard əməliyyatları Selenium-da OS və brauzerdən asılıdır, flaky olur. Manual yoxlamaq daha etibarlıdır</t>
  </si>
  <si>
    <t>TC-PRICE-009</t>
  </si>
  <si>
    <t>USD valyutası ilə qiymət filtri</t>
  </si>
  <si>
    <t>1. Valyuta: USD seç
2. Qiymət min: 10000, maks: 20000 daxil et
3. "Elanları göstər" düyməsinə kliklə
4. Nəticələrdəki elanların qiymətlərinə və valyutasına bax</t>
  </si>
  <si>
    <t>Min: 10000 / Maks: 20000 / Valyuta: USD</t>
  </si>
  <si>
    <t>Yalnız qiyməti $ ilə yazılmış elanlar göstərilir və bütün qiymətlər 10 000 – 20 000 $ aralığındadır</t>
  </si>
  <si>
    <t>Gözlənilən nəticə təsdiqləndi: Yalnız qiyməti $ ilə yazılmış elanlar göstərilir və bütün qiymətlər 10 000 – 20 000 $ aralığındadır. Manual icra (02.10.2026)</t>
  </si>
  <si>
    <t>Valyuta filtri canlı saytda manual icra ilə öyrənildi (yalnız seçilmiş valyutalı elanlar göstərilir). Qiymət aralığı məntiqi TC-PRICE-001-də avtomatlaşdırılıb</t>
  </si>
  <si>
    <t>TC-PRICE-010</t>
  </si>
  <si>
    <t>Qiymət sahəsinə çox böyük dəyərin daxil edilməsi</t>
  </si>
  <si>
    <t>1. Qiymət min sahəsinə 999999999999 daxil et
2. "Elanları göstər" düyməsinə kliklə</t>
  </si>
  <si>
    <t>Min: 999999999999</t>
  </si>
  <si>
    <t>Sistem xəta vermir (500 və s.), "elan tapılmadı" göstərilir və ya sahə simvol limitini tətbiq edir</t>
  </si>
  <si>
    <t>Gözlənilən nəticə təsdiqləndi: Sistem xəta vermir (500 və s.), "elan tapılmadı" göstərilir və ya sahə simvol limitini tətbiq edir. Manual icra (02.10.2026)</t>
  </si>
  <si>
    <t>Birdəfəlik kəşfiyyat (exploratory) yoxlamasıdır; hər relizdə təkrarlanmasına ehtiyac yoxdur</t>
  </si>
  <si>
    <t>TC-PRICE-012</t>
  </si>
  <si>
    <t>Qiymət sahəsinə onluq dəyərin daxil edilməsi</t>
  </si>
  <si>
    <t>1. Qiymət min sahəsinə 10000.50 daxil et
2. Sahədəki dəyərə bax
3. "Elanları göstər" düyməsinə kliklə</t>
  </si>
  <si>
    <t>Min: 10000.50</t>
  </si>
  <si>
    <t>Sahə onluq ayırıcını (nöqtəni) qəbul etmir, yalnız rəqəmlər daxil edilir; daxil edilən dəyər sahədə göstərilir; filtr xətasız işləyir</t>
  </si>
  <si>
    <t>Sahə nöqtəni qəbul etmir, yalnız rəqəmlər daxil edilir: 10000.50 yazıldıqda sahədə "1 000 050" göstərilir (dəyər istifadəçiyə görünür). Filtr xətasız işləyir, nəticə: 0 elan, "Təəssüf ki, axtarışınız əsasında heç nə tapılmadı". Bax: UYG-003 (uyğunsuzluq — istifadəçiyə məlumat verilmir). Manual icra (02.10.2026)</t>
  </si>
  <si>
    <t>Gözlənilən davranış sənədləşdirilməyib. Əvvəl manual icra edilir, davranış təsdiqlənəndən sonra avtomatlaşdırmağa namizəddir</t>
  </si>
  <si>
    <t>TC-PRICE-014</t>
  </si>
  <si>
    <t>Qiymət aralığı və marka filtrinin birlikdə işləməsi</t>
  </si>
  <si>
    <t>1. Marka: Toyota seç
2. Qiymət min: 20000, maks: 30000 daxil et
3. "Elanları göstər" düyməsinə kliklə</t>
  </si>
  <si>
    <t>Marka: Toyota / Min: 20000 / Maks: 30000</t>
  </si>
  <si>
    <t>Bütün elanlar Toyota-dır və ₼ qiymətləri 20 000 – 30 000 aralığındadır</t>
  </si>
  <si>
    <t>Gözlənilən nəticə təsdiqləndi: Bütün elanlar Toyota-dır və ₼ qiymətləri 20 000 – 30 000 aralığındadır. Manual icra (02.10.2026)</t>
  </si>
  <si>
    <t>Filtr kombinasiyası TC-SRCH-007 və TC-SORT-006-da avtomatlaşdırılıb</t>
  </si>
  <si>
    <t>TC-PRICE-015</t>
  </si>
  <si>
    <t>EUR valyutası ilə qiymət filtri</t>
  </si>
  <si>
    <t>1. Valyuta: EUR seç
2. Qiymət min: 10000, maks: 20000 daxil et
3. "Elanları göstər" düyməsinə kliklə
4. Nəticələrdəki elanların qiymətlərinə və valyutasına bax</t>
  </si>
  <si>
    <t>Min: 10000 / Maks: 20000 / Valyuta: EUR</t>
  </si>
  <si>
    <t>Yalnız qiyməti € ilə yazılmış elanlar göstərilir və bütün qiymətlər 10 000 – 20 000 € aralığındadır</t>
  </si>
  <si>
    <t>Gözlənilən nəticə təsdiqləndi: Yalnız qiyməti € ilə yazılmış elanlar göstərilir və bütün qiymətlər 10 000 – 20 000 € aralığındadır. Manual icra (02.10.2026)</t>
  </si>
  <si>
    <t>Valyuta filtrinin davranışı TC-PRICE-009 ilə eynidir; qiymət aralığı məntiqi TC-PRICE-001-də avtomatlaşdırılıb</t>
  </si>
  <si>
    <t>TC-YEAR-001</t>
  </si>
  <si>
    <t>Buraxılış ili aralığı ilə filtrləmə</t>
  </si>
  <si>
    <t>1. İl min: 2015 seç
2. İl maks: 2020 seç
3. "Elanları göstər" düyməsinə kliklə
4. Elan kartlarında ilə bax</t>
  </si>
  <si>
    <t>İl: 2015 – 2020</t>
  </si>
  <si>
    <t>Bütün elan kartlarında il 2015 – 2020 aralığındadır</t>
  </si>
  <si>
    <t>Bütün kartlarda il 2015 – 2020 aralığındadır. Avtomat icra (Gauge + Selenium, 02.10.2026)</t>
  </si>
  <si>
    <t>TS-03</t>
  </si>
  <si>
    <t>Əsas filtrdir. İl hər kartda göstərildiyi üçün assert sadə və stabildir</t>
  </si>
  <si>
    <t>TC-YEAR-002</t>
  </si>
  <si>
    <t>Minimum və maksimum ilin bərabər olması</t>
  </si>
  <si>
    <t>1. İl min: 2020 seç
2. İl maks: 2020 seç
3. "Elanları göstər" düyməsinə kliklə</t>
  </si>
  <si>
    <t>İl: 2020 – 2020</t>
  </si>
  <si>
    <t>Bütün elanlarda il 2020-dir</t>
  </si>
  <si>
    <t>Gözlənilən nəticə təsdiqləndi: Bütün elanlarda il 2020-dir. Manual icra (02.10.2026)</t>
  </si>
  <si>
    <t>Sərhəd məntiqi TC-PRICE-004-də avtomatlaşdırılıb. İl dropdown olduğu üçün daxiletmə xətası riski azdır</t>
  </si>
  <si>
    <t>TC-YEAR-003</t>
  </si>
  <si>
    <t>Ən son ilin (yuxarı sərhəd) seçilməsi</t>
  </si>
  <si>
    <t>1. İl min: 2026 seç
2. İl maks: 2026 seç
3. "Elanları göstər" düyməsinə kliklə</t>
  </si>
  <si>
    <t>İl: 2026 – 2026</t>
  </si>
  <si>
    <t>Yalnız 2026 buraxılış ilinə aid elanlar göstərilir</t>
  </si>
  <si>
    <t>Gözlənilən nəticə təsdiqləndi: Yalnız 2026 buraxılış ilinə aid elanlar göstərilir. Manual icra (02.10.2026)</t>
  </si>
  <si>
    <t>Siyahının yuxarı sərhədi hər il dəyişir (2027 əlavə olunacaq); avtomatlaşdırılsa test data hər il yenilənməlidir</t>
  </si>
  <si>
    <t>TC-YEAR-004</t>
  </si>
  <si>
    <t>Minimum ilin maksimumdan böyük seçilməsi</t>
  </si>
  <si>
    <t>1. İl min: 2024 seç
2. İl maks: 2015 seç
3. "Elanları göstər" düyməsinə kliklə</t>
  </si>
  <si>
    <t>İl: 2024 – 2015</t>
  </si>
  <si>
    <t>Sistem məntiqsiz aralığı idarə edir: elan göstərilmir və ya maks dəyər avtomatik düzəlir; səhifə xəta vermir</t>
  </si>
  <si>
    <t>Gözlənilən nəticə təsdiqləndi: Sistem məntiqsiz aralığı idarə edir: elan göstərilmir və ya maks dəyər avtomatik düzəlir; səhifə xəta vermir. Manual icra (02.10.2026)</t>
  </si>
  <si>
    <t>Gözlənilən davranış sənədləşdirilməyib. Əvvəl manual icra edilir, faktiki davranış təsdiqlənəndən sonra avtomatlaşdırmağa namizəddir</t>
  </si>
  <si>
    <t>TC-YEAR-005</t>
  </si>
  <si>
    <t>Yalnız minimum il ilə filtrləmə</t>
  </si>
  <si>
    <t>1. İl min: 2020 seç
2. Maks sahəsini boş burax
3. "Elanları göstər" düyməsinə kliklə</t>
  </si>
  <si>
    <t>İl min: 2020</t>
  </si>
  <si>
    <t>Bütün elanlarda il ≥ 2020</t>
  </si>
  <si>
    <t>Gözlənilən nəticə təsdiqləndi: Bütün elanlarda il ≥ 2020. Manual icra (02.10.2026)</t>
  </si>
  <si>
    <t>İl aralığı məntiqi TC-YEAR-001-də avtomatlaşdırılıb</t>
  </si>
  <si>
    <t>TC-YEAR-006</t>
  </si>
  <si>
    <t>Yalnız maksimum il ilə filtrləmə</t>
  </si>
  <si>
    <t>1. Min sahəsini boş burax
2. İl maks: 2000 seç
3. "Elanları göstər" düyməsinə kliklə</t>
  </si>
  <si>
    <t>İl maks: 2000</t>
  </si>
  <si>
    <t>Bütün elanlarda il ≤ 2000</t>
  </si>
  <si>
    <t>Gözlənilən nəticə təsdiqləndi: Bütün elanlarda il ≤ 2000. Manual icra (02.10.2026)</t>
  </si>
  <si>
    <t>TC-YEAR-007</t>
  </si>
  <si>
    <t>Ən köhnə ilin (aşağı sərhəd) seçilməsi</t>
  </si>
  <si>
    <t>1. İl min siyahısını aç və ən sonuncu dəyəri seç
2. İl maks: 1950 seç
3. "Elanları göstər" düyməsinə kliklə</t>
  </si>
  <si>
    <t>İl: 1906 – 1950</t>
  </si>
  <si>
    <t>Filtr xətasız işləyir; nəticələr 1906 – 1950 aralığındadır və ya "elan tapılmadı" göstərilir</t>
  </si>
  <si>
    <t>Gözlənilən nəticə təsdiqləndi: Filtr xətasız işləyir; nəticələr 1906 – 1950 aralığındadır və ya "elan tapılmadı" göstərilir. Manual icra (02.10.2026)</t>
  </si>
  <si>
    <t>TC-YEAR-008</t>
  </si>
  <si>
    <t>İl siyahısının ardıcıllığı</t>
  </si>
  <si>
    <t>1. İl min siyahısını aç
2. Dəyərlərin ardıcıllığına bax</t>
  </si>
  <si>
    <t>İl siyahısı</t>
  </si>
  <si>
    <t>İllər təkrarsız, yenidən köhnəyə ardıcıl (2026 → 1906) göstərilir</t>
  </si>
  <si>
    <t>Gözlənilən nəticə təsdiqləndi: İllər təkrarsız, yenidən köhnəyə ardıcıl (2026 → 1906) göstərilir. Manual icra (02.10.2026)</t>
  </si>
  <si>
    <t>Vizual qiymətləndirmə tələb edir</t>
  </si>
  <si>
    <t>TC-FLTR-001</t>
  </si>
  <si>
    <t>Yanacaq növü "Elektro" filtrinin yoxlanılması</t>
  </si>
  <si>
    <t>1. "Daha çox filtr" düyməsinə kliklə
2. Yanacaq növü: Elektro seç
3. "Elanları göstər" düyməsinə kliklə
4. Elan kartlarında mühərrik məlumatına bax</t>
  </si>
  <si>
    <t>Yanacaq: Elektro</t>
  </si>
  <si>
    <t>Nəticələrdə daxili yanma mühərrikli elan yoxdur: heç bir kartda mühərrik həcmi litrlə (məs. "1.5 L") göstərilmir. Elektrik avtomobillərində batareya həcmi kWh ilə göstərilir (satıcı doldurmayıbsa göstərilməyə bilər)</t>
  </si>
  <si>
    <t>Litrlə mühərrik həcmi olan elan yoxdur. Müşahidə: 1 elanda kWh göstərilməyib (satıcı doldurmayıb). Avtomat icra (Gauge + Selenium, 02.10.2026)</t>
  </si>
  <si>
    <t>TS-04</t>
  </si>
  <si>
    <t>Kartdakı "kWh" işarəsi ilə detal səhifəyə keçmədən yoxlanılır → sürətli və stabil</t>
  </si>
  <si>
    <t>TC-FLTR-002</t>
  </si>
  <si>
    <t>Ban növü "Sedan" filtrinin yoxlanılması</t>
  </si>
  <si>
    <t>1. "Daha çox filtr" düyməsinə kliklə
2. Ban növü: Sedan seç
3. Axtar
4. İlk 3 elanı aç və "Ban növü" sahəsinə bax</t>
  </si>
  <si>
    <t>Ban növü: Sedan</t>
  </si>
  <si>
    <t>Açılan elanlarda "Ban növü: Sedan" göstərilir</t>
  </si>
  <si>
    <t>Gözlənilən nəticə təsdiqləndi: Açılan elanlarda "Ban növü: Sedan" göstərilir. Manual icra (02.10.2026)</t>
  </si>
  <si>
    <t>Yoxlama üçün hər elanın detal səhifəsinə keçmək lazımdır; regression-a əlavə dəyəri aşağı, icra müddəti yüksəkdir</t>
  </si>
  <si>
    <t>TC-FLTR-003</t>
  </si>
  <si>
    <t>Sürətlər qutusu "Mexaniki" filtrinin yoxlanılması</t>
  </si>
  <si>
    <t>1. "Daha çox filtr" düyməsinə kliklə
2. Sürətlər qutusu: Mexaniki (MT) seç
3. Axtar
4. İlk 3 elanı aç</t>
  </si>
  <si>
    <t>Sürətlər qutusu: Mexaniki (MT)</t>
  </si>
  <si>
    <t>Açılan elanlarda "Sürətlər qutusu: Mexaniki" göstərilir</t>
  </si>
  <si>
    <t>Gözlənilən nəticə təsdiqləndi: Açılan elanlarda "Sürətlər qutusu: Mexaniki" göstərilir. Manual icra (02.10.2026)</t>
  </si>
  <si>
    <t>Aşağı prioritetli filtrdir, detal səhifə tələb edir. Manual icra kifayətdir</t>
  </si>
  <si>
    <t>TC-FLTR-004</t>
  </si>
  <si>
    <t>Yürüş aralığı ilə filtrləmə</t>
  </si>
  <si>
    <t>1. "Daha çox filtr" düyməsinə kliklə
2. Yürüş min: 0, maks: 50000 daxil et
3. "Elanları göstər" düyməsinə kliklə
4. Kartlarda yürüşə bax</t>
  </si>
  <si>
    <t>Yürüş: 0 – 50000 km</t>
  </si>
  <si>
    <t>Bütün elan kartlarında yürüş 0 – 50 000 km aralığındadır</t>
  </si>
  <si>
    <t>Bütün kartlarda yürüş 50 000 km-dən çox deyil. Avtomat icra (Gauge + Selenium, 02.10.2026)</t>
  </si>
  <si>
    <t>Yürüş kartda göstərilir, assert detal səhifə tələb etmir. Rəqəmsal aralıq filtrinin ikinci nümunəsidir</t>
  </si>
  <si>
    <t>TC-FLTR-005</t>
  </si>
  <si>
    <t>Yürüş sahəsinə mənfi və hərf dəyərlərinin daxil edilməsi</t>
  </si>
  <si>
    <t>1. Yürüş min sahəsinə -100 daxil et
2. Yürüş maks sahəsinə abc daxil et
3. Sahələrdəki dəyərlərə bax</t>
  </si>
  <si>
    <t>Yürüş min: -100 / maks: abc</t>
  </si>
  <si>
    <t>Sahələr mənfi işarəni və hərfləri qəbul etmir</t>
  </si>
  <si>
    <t>Gözlənilən nəticə təsdiqləndi: Sahələr mənfi işarəni və hərfləri qəbul etmir. Manual icra (02.10.2026)</t>
  </si>
  <si>
    <t>Eyni validasiya məntiqi qiymət sahəsində (TC-PRICE-006/007) avtomatlaşdırılıb</t>
  </si>
  <si>
    <t>TC-FLTR-006</t>
  </si>
  <si>
    <t>"Kredit" filtrinin yoxlanılması</t>
  </si>
  <si>
    <t>1. "Kredit" seçimini işarələ
2. "Elanları göstər" düyməsinə kliklə
3. Elan kartlarına bax</t>
  </si>
  <si>
    <t>Kredit: işarələnib</t>
  </si>
  <si>
    <t>Bütün elan kartlarında "Kreditdədir" nişanı göstərilir</t>
  </si>
  <si>
    <t>Bütün kartlarda "Kreditdədir" nişanı var. Avtomat icra (Gauge + Selenium, 02.10.2026)</t>
  </si>
  <si>
    <t>Kartdakı nişanla yoxlanılır, detal səhifə tələb etmir → sürətli və stabil. Checkbox filtrlərini təmsil edir</t>
  </si>
  <si>
    <t>TC-FLTR-007</t>
  </si>
  <si>
    <t>"Barter" filtrinin yoxlanılması</t>
  </si>
  <si>
    <t>1. "Barter" seçimini işarələ
2. "Elanları göstər" düyməsinə kliklə
3. Elan kartlarına bax</t>
  </si>
  <si>
    <t>Barter: işarələnib</t>
  </si>
  <si>
    <t>Bütün elan kartlarında "Barter mümkündür" nişanı göstərilir</t>
  </si>
  <si>
    <t>Gözlənilən nəticə təsdiqləndi: Bütün elan kartlarında "Barter mümkündür" nişanı göstərilir. Manual icra (02.10.2026)</t>
  </si>
  <si>
    <t>Checkbox filtr məntiqi TC-FLTR-006-da avtomatlaşdırılıb; təkrarçılıq olmasın deyə manual saxlanılır</t>
  </si>
  <si>
    <t>TC-FLTR-008</t>
  </si>
  <si>
    <t>"Daha çox filtr" və "Gizlət" düymələrinin işləməsi</t>
  </si>
  <si>
    <t>1. "Daha çox filtr" düyməsinə kliklə
2. Açılan sahələrə bax
3. "Gizlət" düyməsinə kliklə</t>
  </si>
  <si>
    <t>Düymələr</t>
  </si>
  <si>
    <t>Əlavə filtrlər açılır və gizlənir; animasiya düzgün işləyir, səhifə sürüşmür</t>
  </si>
  <si>
    <t>Gözlənilən nəticə təsdiqləndi: Əlavə filtrlər açılır və gizlənir; animasiya düzgün işləyir, səhifə sürüşmür. Manual icra (02.10.2026)</t>
  </si>
  <si>
    <t>Vizual davranış yoxlamasıdır; insan gözü ilə qiymətləndirmək daha düzgündür</t>
  </si>
  <si>
    <t>TC-FLTR-009</t>
  </si>
  <si>
    <t>"Vuruğu yoxdur" filtrinin yoxlanılması</t>
  </si>
  <si>
    <t>1. "Daha çox filtr" düyməsinə kliklə
2. "Vuruğu yoxdur" seçimini işarələ
3. Axtar
4. İlk 3 elanı aç və "Vəziyyəti" sahəsinə bax</t>
  </si>
  <si>
    <t>Vuruğu yoxdur: işarələnib</t>
  </si>
  <si>
    <t>Açılan elanlarda "Vəziyyəti: Vuruğu yoxdur" göstərilir</t>
  </si>
  <si>
    <t>Gözlənilən nəticə təsdiqləndi: Açılan elanlarda "Vəziyyəti: Vuruğu yoxdur" göstərilir. Manual icra (02.10.2026)</t>
  </si>
  <si>
    <t>Detal səhifə tələb edir, elan sahibinin daxil etdiyi məlumatdan asılıdır; manual yoxlama kifayətdir</t>
  </si>
  <si>
    <t>TC-FLTR-010</t>
  </si>
  <si>
    <t>Satıcı növü "Dilerlər" filtrinin yoxlanılması</t>
  </si>
  <si>
    <t>1. "Daha çox filtr" düyməsinə kliklə
2. Satıcı: Dilerlər seç
3. Axtar
4. İlk 3 elanı aç və satıcı blokuna bax</t>
  </si>
  <si>
    <t>Satıcı: Dilerlər</t>
  </si>
  <si>
    <t>Açılan elanlarda satıcı avtosalon/diler kimi göstərilir</t>
  </si>
  <si>
    <t>Gözlənilən nəticə təsdiqləndi: Açılan elanlarda satıcı avtosalon/diler kimi göstərilir. Manual icra (02.10.2026)</t>
  </si>
  <si>
    <t>Kartda satıcı növünün göstərilməsi hər elanda eyni deyil, avtomatik assert etibarsız olar</t>
  </si>
  <si>
    <t>TC-FLTR-011</t>
  </si>
  <si>
    <t>Rəng "Ağ" filtrinin yoxlanılması</t>
  </si>
  <si>
    <t>"Daha çox filtr" bölməsi açıqdır</t>
  </si>
  <si>
    <t>1. Rəng: Ağ seç
2. "Elanları göstər" düyməsinə kliklə
3. İlk 3 elanı aç və "Rəng" sahəsinə bax</t>
  </si>
  <si>
    <t>Rəng: Ağ</t>
  </si>
  <si>
    <t>Açılan elanlarda "Rəng" sahəsi "Ağ" göstərir</t>
  </si>
  <si>
    <t>Gözlənilən nəticə təsdiqləndi: Açılan elanlarda "Rəng" sahəsi "Ağ" göstərir. Manual icra (02.10.2026)</t>
  </si>
  <si>
    <t>Detal səhifə tələb edir, elan sahibinin daxil etdiyi məlumatdan asılıdır. Filtr məntiqi digər filtrlərdə avtomatlaşdırılıb; manual yoxlama kifayətdir</t>
  </si>
  <si>
    <t>TC-FLTR-012</t>
  </si>
  <si>
    <t>Mühərrik həcmi aralığı ilə filtrləmə</t>
  </si>
  <si>
    <t>1. Mühərrik həcmi min: 1500, maks: 2000 seç
2. "Elanları göstər" düyməsinə kliklə
3. Elan kartlarında mühərrik həcminə bax</t>
  </si>
  <si>
    <t>Həcm: 1500 – 2000 sm³</t>
  </si>
  <si>
    <t>Bütün kartlarda mühərrik həcmi 1.5 L – 2.0 L aralığındadır</t>
  </si>
  <si>
    <t>Bütün kartlarda mühərrik həcmi 1.5 – 2.0 L aralığındadır. Avtomat icra (Gauge + Selenium, 02.10.2026)</t>
  </si>
  <si>
    <t>Mühərrik həcmi kartda göstərilir, detal səhifə tələb etmir → sürətli və stabil. Dropdown ilə seçilən aralıq filtrini təmsil edir</t>
  </si>
  <si>
    <t>TC-FLTR-013</t>
  </si>
  <si>
    <t>Mühərrik həcmində minimumun maksimumdan böyük seçilməsi</t>
  </si>
  <si>
    <t>1. Mühərrik həcmi min: 3000, maks: 1000 seç
2. "Elanları göstər" düyməsinə kliklə</t>
  </si>
  <si>
    <t>Həcm: 3000 – 1000</t>
  </si>
  <si>
    <t>Sistem məntiqsiz aralığı idarə edir, səhifə xəta vermir</t>
  </si>
  <si>
    <t>Gözlənilən nəticə təsdiqləndi: Sistem məntiqsiz aralığı idarə edir, səhifə xəta vermir. Manual icra (02.10.2026)</t>
  </si>
  <si>
    <t>TC-FLTR-014</t>
  </si>
  <si>
    <t>Güc (a.g.) aralığı ilə filtrləmə</t>
  </si>
  <si>
    <t>1. Güc min: 150, maks: 250 daxil et
2. Axtar
3. İlk 3 elanı aç və mühərrik sətrində a.g. dəyərinə bax</t>
  </si>
  <si>
    <t>Güc: 150 – 250 a.g.</t>
  </si>
  <si>
    <t>Açılan elanlarda güc 150 – 250 a.g. aralığındadır</t>
  </si>
  <si>
    <t>Gözlənilən nəticə təsdiqləndi: Açılan elanlarda güc 150 – 250 a.g. aralığındadır. Manual icra (02.10.2026)</t>
  </si>
  <si>
    <t>TC-FLTR-015</t>
  </si>
  <si>
    <t>Güc sahəsinə mənfi və hərf dəyərlərinin daxil edilməsi</t>
  </si>
  <si>
    <t>1. Güc min sahəsinə -50 daxil et
2. Güc maks sahəsinə abc daxil et
3. Sahələrə bax</t>
  </si>
  <si>
    <t>Güc: -50 / abc</t>
  </si>
  <si>
    <t>Oxşar validasiya/sərhəd məntiqi qiymət sahəsində avtomatlaşdırılıb; təkrarçılıq olmasın deyə manual saxlanılır</t>
  </si>
  <si>
    <t>TC-FLTR-016</t>
  </si>
  <si>
    <t>Yürüşdə minimumun maksimumdan böyük olması</t>
  </si>
  <si>
    <t>1. Yürüş min: 100000, maks: 10000 daxil et
2. "Elanları göstər" düyməsinə kliklə</t>
  </si>
  <si>
    <t>Yürüş: 100000 – 10000</t>
  </si>
  <si>
    <t>TC-FLTR-017</t>
  </si>
  <si>
    <t>Yürüşün 0 – 0 km aralığı (yalnız yeni avtomobillər)</t>
  </si>
  <si>
    <t>1. Yürüş min: 0, maks: 0 daxil et
2. "Elanları göstər" düyməsinə kliklə</t>
  </si>
  <si>
    <t>Yürüş: 0 – 0 km</t>
  </si>
  <si>
    <t>Bütün kartlarda yürüş "0 km" göstərilir</t>
  </si>
  <si>
    <t>Gözlənilən nəticə təsdiqləndi: Bütün kartlarda yürüş "0 km" göstərilir. Manual icra (02.10.2026)</t>
  </si>
  <si>
    <t>TC-FLTR-018</t>
  </si>
  <si>
    <t>Yerlərin sayı "7" filtrinin yoxlanılması</t>
  </si>
  <si>
    <t>1. Yerlərin sayı: 7 seç
2. "Elanları göstər" düyməsinə kliklə
3. İlk 3 elanı aç və "Yerlərin sayı" sahəsinə bax</t>
  </si>
  <si>
    <t>Yerlərin sayı: 7</t>
  </si>
  <si>
    <t>Açılan elanlarda "Yerlərin sayı" sahəsi "7" göstərir</t>
  </si>
  <si>
    <t>Gözlənilən nəticə təsdiqləndi: Açılan elanlarda "Yerlərin sayı" sahəsi "7" göstərir. Manual icra (02.10.2026)</t>
  </si>
  <si>
    <t>TC-FLTR-019</t>
  </si>
  <si>
    <t>Hansı bazar üçün yığılıb "Yaponiya" filtrinin yoxlanılması</t>
  </si>
  <si>
    <t>1. Hansı bazar üçün yığılıb: Yaponiya seç
2. "Elanları göstər" düyməsinə kliklə
3. İlk 3 elanı aç və "Hansı bazar üçün yığılıb" sahəsinə bax</t>
  </si>
  <si>
    <t>Hansı bazar üçün yığılıb: Yaponiya</t>
  </si>
  <si>
    <t>Açılan elanlarda "Hansı bazar üçün yığılıb" sahəsi "Yaponiya" göstərir</t>
  </si>
  <si>
    <t>Gözlənilən nəticə təsdiqləndi: Açılan elanlarda "Hansı bazar üçün yığılıb" sahəsi "Yaponiya" göstərir. Manual icra (02.10.2026)</t>
  </si>
  <si>
    <t>TC-FLTR-020</t>
  </si>
  <si>
    <t>Avtomobilin təchizatı "Lyuk" filtrinin yoxlanılması</t>
  </si>
  <si>
    <t>1. Avtomobilin təchizatı bölməsində "Lyuk" seçimini işarələ
2. Axtar
3. İlk 3 elanı aç və təchizat siyahısına bax</t>
  </si>
  <si>
    <t>Təchizat: Lyuk</t>
  </si>
  <si>
    <t>Açılan elanların təchizat siyahısında "Lyuk" var</t>
  </si>
  <si>
    <t>Gözlənilən nəticə təsdiqləndi: Açılan elanların təchizat siyahısında "Lyuk" var. Manual icra (02.10.2026)</t>
  </si>
  <si>
    <t>TC-FLTR-021</t>
  </si>
  <si>
    <t>"Yalnız qəzalı avtomobillər" filtrinin yoxlanılması</t>
  </si>
  <si>
    <t>1. "Yalnız qəzalı avtomobillər" seçimini işarələ
2. Axtar
3. İlk 3 elanı aç və "Vəziyyəti" sahəsinə bax</t>
  </si>
  <si>
    <t>Yalnız qəzalı: işarələnib</t>
  </si>
  <si>
    <t>Açılan elanlarda "Vəziyyəti" sahəsində vuruq/qəza qeydi var</t>
  </si>
  <si>
    <t>Gözlənilən nəticə təsdiqləndi: Açılan elanlarda "Vəziyyəti" sahəsində vuruq/qəza qeydi var. Manual icra (02.10.2026)</t>
  </si>
  <si>
    <t>TC-FLTR-022</t>
  </si>
  <si>
    <t>"Rənglənməyib" filtrinin yoxlanılması</t>
  </si>
  <si>
    <t>1. "Rənglənməyib" seçimini işarələ
2. Axtar
3. İlk 3 elanı aç və "Vəziyyəti" sahəsinə bax</t>
  </si>
  <si>
    <t>Rənglənməyib: işarələnib</t>
  </si>
  <si>
    <t>Açılan elanlarda "Vəziyyəti: ... rənglənməyib" göstərilir</t>
  </si>
  <si>
    <t>Gözlənilən nəticə təsdiqləndi: Açılan elanlarda "Vəziyyəti: ... rənglənməyib" göstərilir. Manual icra (02.10.2026)</t>
  </si>
  <si>
    <t>TC-FLTR-023</t>
  </si>
  <si>
    <t>Ötürücü "Tam" filtrinin yoxlanılması</t>
  </si>
  <si>
    <t>1. Ötürücü: Tam seç
2. "Elanları göstər" düyməsinə kliklə
3. İlk 3 elanı aç və "Ötürücü" sahəsinə bax</t>
  </si>
  <si>
    <t>Ötürücü: Tam</t>
  </si>
  <si>
    <t>Açılan elanlarda "Ötürücü" sahəsi "Tam" göstərir</t>
  </si>
  <si>
    <t>Gözlənilən nəticə təsdiqləndi: Açılan elanlarda "Ötürücü" sahəsi "Tam" göstərir. Manual icra (02.10.2026)</t>
  </si>
  <si>
    <t>TC-FLTR-024</t>
  </si>
  <si>
    <t>"Vuruğu yoxdur" və "Yalnız qəzalı" seçimlərinin eyni anda işarələnməsi</t>
  </si>
  <si>
    <t>1. "Vuruğu yoxdur" seçimini işarələ
2. "Yalnız qəzalı avtomobillər" seçimini işarələ
3. Axtar</t>
  </si>
  <si>
    <t>Ziddiyyətli seçimlər</t>
  </si>
  <si>
    <t>Sistem ziddiyyəti idarə edir: seçimlərdən biri deaktiv olur və ya "elan tapılmadı" göstərilir; xəta yoxdur</t>
  </si>
  <si>
    <t>"Vuruğu yoxdur" və "Yalnız qəzalı avtomobillər" eyni anda işarələnə bilir, sistem ziddiyyəti idarə etmir. Nəticədə vuruğu/əzilməsi olan avtomobillər göstərilir — "Vuruğu yoxdur" şərti nəzərə alınmır. Bax: UYG-001 (uyğunsuzluq). Manual icra (02.10.2026)</t>
  </si>
  <si>
    <t>TC-FLTR-025</t>
  </si>
  <si>
    <t>Bir neçə əlavə filtrin kombinasiyası</t>
  </si>
  <si>
    <t>1. Yanacaq: Benzin seç
2. Sürətlər qutusu: Avtomat (AT) seç
3. Ban növü: Sedan seç
4. Axtar
5. İlk 3 elanı aç</t>
  </si>
  <si>
    <t>Benzin / Avtomat (AT) / Sedan</t>
  </si>
  <si>
    <t>Açılan elanlar bütün üç şərtə uyğundur</t>
  </si>
  <si>
    <t>Gözlənilən nəticə təsdiqləndi: Açılan elanlar bütün üç şərtə uyğundur. Manual icra (02.10.2026)</t>
  </si>
  <si>
    <t>TC-SORT-001</t>
  </si>
  <si>
    <t>"Əvvəlcə ucuz" sıralamasının yoxlanılması</t>
  </si>
  <si>
    <t>Toyota markası seçilib, nəticə siyahısı göstərilir</t>
  </si>
  <si>
    <t>1. Marka: Toyota seç və axtar
2. Sıralama siyahısından "Əvvəlcə ucuz" seç
3. "ELANLAR" bölməsindəki qiymətləri oxu</t>
  </si>
  <si>
    <t>Marka: Toyota / Sıralama: Əvvəlcə ucuz</t>
  </si>
  <si>
    <t>"ELANLAR" siyahısındakı ₼ qiymətləri artan sıradadır (VIP və salon VIP blokları nəzərə alınmır)</t>
  </si>
  <si>
    <t>₼ qiymətləri artan sıradadır (VIP bloklar nəzərə alınmadan). Avtomat icra (Gauge + Selenium, 02.10.2026)</t>
  </si>
  <si>
    <t>TS-05</t>
  </si>
  <si>
    <t>Əsas funksionallıqdır. VIP/Premium bloklar sıralamaya tabe olmadığı üçün assert yalnız əsas siyahıya aiddir → stabil</t>
  </si>
  <si>
    <t>TC-SORT-002</t>
  </si>
  <si>
    <t>"Əvvəlcə bahalı" sıralamasının yoxlanılması</t>
  </si>
  <si>
    <t>1. Marka: Toyota seç və axtar
2. Sıralama siyahısından "Əvvəlcə bahalı" seç
3. "ELANLAR" bölməsindəki qiymətləri oxu</t>
  </si>
  <si>
    <t>Marka: Toyota / Sıralama: Əvvəlcə bahalı</t>
  </si>
  <si>
    <t>"ELANLAR" siyahısındakı ₼ qiymətləri azalan sıradadır</t>
  </si>
  <si>
    <t>₼ qiymətləri azalan sıradadır. Avtomat icra (Gauge + Selenium, 02.10.2026)</t>
  </si>
  <si>
    <t>Əsas funksionallıqdır, TC-SORT-001-in əks istiqamətidir; sıralama məntiqinin hər iki tərəfini qoruyur</t>
  </si>
  <si>
    <t>TC-SORT-003</t>
  </si>
  <si>
    <t>"Yürüş" sıralamasının yoxlanılması</t>
  </si>
  <si>
    <t>1. Sıralama siyahısından "Yürüş" seç
2. "ELANLAR" bölməsindəki yürüş dəyərlərini oxu</t>
  </si>
  <si>
    <t>Sıralama: Yürüş</t>
  </si>
  <si>
    <t>Yürüş dəyərləri artan sıradadır</t>
  </si>
  <si>
    <t>Gözlənilən nəticə təsdiqləndi: Yürüş dəyərləri artan sıradadır. Manual icra (02.10.2026)</t>
  </si>
  <si>
    <t>Sıralama istiqaməti sənədləşdirilməyib; əvvəl manual təsdiqlənməlidir. Sıralama məntiqi TC-SORT-001/002-də avtomatlaşdırılıb</t>
  </si>
  <si>
    <t>TC-SORT-004</t>
  </si>
  <si>
    <t>"Buraxılış ili" sıralamasının yoxlanılması</t>
  </si>
  <si>
    <t>1. Sıralama siyahısından "Buraxılış ili" seç
2. "ELANLAR" bölməsindəki illəri oxu</t>
  </si>
  <si>
    <t>Sıralama: Buraxılış ili</t>
  </si>
  <si>
    <t>İllər ardıcıl sıradadır (yenidən köhnəyə)</t>
  </si>
  <si>
    <t>Gözlənilən nəticə təsdiqləndi: İllər ardıcıl sıradadır (yenidən köhnəyə). Manual icra (02.10.2026)</t>
  </si>
  <si>
    <t>Sıralama istiqaməti (artan/azalan) əvvəl manual təsdiqlənməlidir</t>
  </si>
  <si>
    <t>TC-SORT-005</t>
  </si>
  <si>
    <t>"Tarixə görə" (default) sıralamanın yoxlanılması</t>
  </si>
  <si>
    <t>1. Sıralama: "Tarixə görə" olduğunu yoxla
2. Elan kartlarındakı tarix/saata bax</t>
  </si>
  <si>
    <t>Sıralama: Tarixə görə</t>
  </si>
  <si>
    <t>Elanlar ən yenidən köhnəyə doğru sıralanır</t>
  </si>
  <si>
    <t>Gözlənilən nəticə təsdiqləndi: Elanlar ən yenidən köhnəyə doğru sıralanır. Manual icra (02.10.2026)</t>
  </si>
  <si>
    <t>Flaky riski yüksəkdir: "bugün/dünən" formatı, "İrəli çək" ödənişli xidməti elanları yuxarı qaldırır və siyahı hər dəqiqə dəyişir</t>
  </si>
  <si>
    <t>TC-SORT-006</t>
  </si>
  <si>
    <t>Sıralama dəyişdikdə filtrlərin qorunması</t>
  </si>
  <si>
    <t>1. Marka: Toyota, Şəhər: Bakı seç və axtar
2. Sıralamanı "Əvvəlcə ucuz" et
3. Filtr sahələrinə və nəticələrə bax</t>
  </si>
  <si>
    <t>Marka: Toyota / Şəhər: Bakı / Sıralama: Əvvəlcə ucuz</t>
  </si>
  <si>
    <t>Filtrlər seçili qalır, bütün elanlar Toyota və Bakı-dır, qiymətlər artan sıradadır</t>
  </si>
  <si>
    <t>Sıralamadan sonra Toyota və Bakı filtrləri qorunur, qiymətlər artan sıradadır. Avtomat icra (Gauge + Selenium, 02.10.2026)</t>
  </si>
  <si>
    <t>Filtr + sıralama inteqrasiyası tez-tez qırılan yerdir; real istifadəçi axınıdır</t>
  </si>
  <si>
    <t>TC-SORT-007</t>
  </si>
  <si>
    <t>İkinci səhifəyə keçdikdə sıralamanın qorunması</t>
  </si>
  <si>
    <t>Marka: Toyota seçilib, nəticə siyahısı göstərilir</t>
  </si>
  <si>
    <t>1. Sıralamanı "Əvvəlcə ucuz" et
2. 2-ci səhifəyə keç
3. 1-ci səhifənin son qiymətini 2-ci səhifənin ilk qiyməti ilə müqayisə et</t>
  </si>
  <si>
    <t>Sıralama: Əvvəlcə ucuz / Səhifə: 2</t>
  </si>
  <si>
    <t>Sıralama seçili qalır; 2-ci səhifənin ilk qiyməti 1-ci səhifənin son qiymətindən kiçik deyil</t>
  </si>
  <si>
    <t>Gözlənilən nəticə təsdiqləndi: Sıralama seçili qalır; 2-ci səhifənin ilk qiyməti 1-ci səhifənin son qiymətindən kiçik deyil. Manual icra (02.10.2026)</t>
  </si>
  <si>
    <t>Səhifələr arasında elanlar əlavə/silindikcə sərhəd qiymətləri sürüşə bilər; avtomatda flaky riski var</t>
  </si>
  <si>
    <t>TC-PAGE-001</t>
  </si>
  <si>
    <t>Nəticə sayının başlıqda göstərilməsi</t>
  </si>
  <si>
    <t>1. Nəticə başlığına bax ("... elan")</t>
  </si>
  <si>
    <t>Başlıqda elan sayı rəqəmlə göstərilir (məs. "2618 elan") və 0-dan böyükdür</t>
  </si>
  <si>
    <t>Gözlənilən nəticə təsdiqləndi: Başlıqda elan sayı rəqəmlə göstərilir (məs. "2618 elan") və 0-dan böyükdür. Manual icra (02.10.2026)</t>
  </si>
  <si>
    <t>TS-06</t>
  </si>
  <si>
    <t>Say dinamikdir, real sayla müqayisə etmək mümkün deyil; yalnız format yoxlanır, regression dəyəri aşağıdır</t>
  </si>
  <si>
    <t>TC-PAGE-002</t>
  </si>
  <si>
    <t>Növbəti səhifəyə keçid</t>
  </si>
  <si>
    <t>1. Marka: Toyota seç və axtar
2. Səhifənin sonuna qədər sürüşdür
3. "2" səhifə düyməsinə kliklə
4. URL-ə və elanlara bax</t>
  </si>
  <si>
    <t>Marka: Toyota / Səhifə: 2</t>
  </si>
  <si>
    <t>URL-də page=2 var, marka filtri qorunur, 2-ci səhifənin elanları 1-ci səhifədən fərqlidir</t>
  </si>
  <si>
    <t>URL-də page=2 var, marka filtri qorunur, 1-ci səhifənin ilk elanı 2-ci səhifədə yoxdur. Avtomat icra (Gauge + Selenium, 02.10.2026)</t>
  </si>
  <si>
    <t>Səhifələmə qırılarsa istifadəçi 1-ci səhifədən o yana keçə bilməz. Elan ID-ləri müqayisə olunur → stabil</t>
  </si>
  <si>
    <t>TC-PAGE-003</t>
  </si>
  <si>
    <t>Son səhifəyə keçid</t>
  </si>
  <si>
    <t>1. Səhifələmədə "..." / son səhifə linkinə kliklə
2. Elanlara bax</t>
  </si>
  <si>
    <t>Son səhifə</t>
  </si>
  <si>
    <t>Son səhifə açılır, elanlar göstərilir, "növbəti" linki yoxdur</t>
  </si>
  <si>
    <t>Gözlənilən nəticə təsdiqləndi: Son səhifə açılır, elanlar göstərilir, "növbəti" linki yoxdur. Manual icra (02.10.2026)</t>
  </si>
  <si>
    <t>Son səhifənin nömrəsi elan sayına görə daim dəyişir; avtomatik testdə flaky olar</t>
  </si>
  <si>
    <t>TC-PAGE-004</t>
  </si>
  <si>
    <t>Mövcud olmayan səhifə nömrəsinin URL ilə açılması</t>
  </si>
  <si>
    <t>https://turbo.az/autos (Bütün elanlar) səhifəsi açıqdır</t>
  </si>
  <si>
    <t>1. URL-ə ?page=99999 əlavə et
2. Səhifəni aç</t>
  </si>
  <si>
    <t>page=99999</t>
  </si>
  <si>
    <t>Səhifə xəta (500) vermir; boş nəticə və ya 1-ci səhifəyə yönləndirmə olur</t>
  </si>
  <si>
    <t>Gözlənilən nəticə təsdiqləndi: Səhifə xəta (500) vermir; boş nəticə və ya 1-ci səhifəyə yönləndirmə olur. Manual icra (02.10.2026)</t>
  </si>
  <si>
    <t>Gözlənilən davranış sənədləşdirilməyib, birdəfəlik kəşfiyyat yoxlamasıdır</t>
  </si>
  <si>
    <t>TC-PAGE-005</t>
  </si>
  <si>
    <t>Əvvəlki səhifəyə qayıdış</t>
  </si>
  <si>
    <t>Toyota nəticələrinin 2-ci səhifəsi açıqdır</t>
  </si>
  <si>
    <t>1. "1" səhifə düyməsinə kliklə
2. Elanlara və URL-ə bax</t>
  </si>
  <si>
    <t>Səhifə: 1</t>
  </si>
  <si>
    <t>1-ci səhifə açılır, marka filtri qorunur</t>
  </si>
  <si>
    <t>Gözlənilən nəticə təsdiqləndi: 1-ci səhifə açılır, marka filtri qorunur. Manual icra (02.10.2026)</t>
  </si>
  <si>
    <t>Səhifələmə məntiqi TC-PAGE-002-də avtomatlaşdırılıb</t>
  </si>
  <si>
    <t>TC-PAGE-006</t>
  </si>
  <si>
    <t>Hər səhifədə eyni sayda elanın göstərilməsi</t>
  </si>
  <si>
    <t>1. 1-ci səhifədəki "ELANLAR" siyahısında elan sayını hesabla
2. 2-ci və 3-cü səhifələrdə eyni sayı hesabla</t>
  </si>
  <si>
    <t>Səhifələr: 1, 2, 3</t>
  </si>
  <si>
    <t>Son səhifədən başqa hər səhifədə eyni sayda elan göstərilir</t>
  </si>
  <si>
    <t>Gözlənilən nəticə təsdiqləndi: Son səhifədən başqa hər səhifədə eyni sayda elan göstərilir. Manual icra (02.10.2026)</t>
  </si>
  <si>
    <t>TC-PAGE-007</t>
  </si>
  <si>
    <t>Filtr dəyişdikdə 1-ci səhifəyə qayıdış</t>
  </si>
  <si>
    <t>Toyota nəticələrinin 3-cü səhifəsi açıqdır</t>
  </si>
  <si>
    <t>1. Şəhər: Bakı filtrini əlavə et
2. Axtar
3. URL-ə və aktiv səhifə nömrəsinə bax</t>
  </si>
  <si>
    <t>Şəhər: Bakı</t>
  </si>
  <si>
    <t>Yeni nəticələr 1-ci səhifədən başlayır (page parametri sıfırlanır)</t>
  </si>
  <si>
    <t>Gözlənilən nəticə təsdiqləndi: Yeni nəticələr 1-ci səhifədən başlayır (page parametri sıfırlanır). Manual icra (02.10.2026)</t>
  </si>
  <si>
    <t>TC-AD-001</t>
  </si>
  <si>
    <t>Elan kartındakı məlumatın detal səhifə ilə uyğunluğu</t>
  </si>
  <si>
    <t>1. Marka: Toyota seç və axtar
2. Siyahıdakı ilk elan kartının başlığını və qiymətini qeyd et
3. Elanı aç
4. Detal səhifədəki məlumatla müqayisə et</t>
  </si>
  <si>
    <t>İlk elan (dinamik seçilir)</t>
  </si>
  <si>
    <t>Detal səhifədə kartdakı başlıq (marka/model) və qiymət eyni şəkildə göstərilir</t>
  </si>
  <si>
    <t>Detal səhifədə kartdakı başlıq və qiymət eynidir. Avtomat icra (Gauge + Selenium, 02.10.2026)</t>
  </si>
  <si>
    <t>TS-07</t>
  </si>
  <si>
    <t>Data uyğunsuzluğu birbaşa istifadəçi etibarına təsir edir. Elan test zamanı dinamik seçilir, konkret ID-yə bağlı deyil → stabil</t>
  </si>
  <si>
    <t>TC-AD-002</t>
  </si>
  <si>
    <t>Elan səhifəsində xüsusiyyətlər blokunun tamlığı</t>
  </si>
  <si>
    <t>Axtarış nəticələrindən istənilən aktiv elanın səhifəsi açıqdır</t>
  </si>
  <si>
    <t>1. Marka: Toyota seç və axtar
2. İlk elanı aç
3. Xüsusiyyətlər blokuna bax
4. Sahələrin mövcudluğunu yoxla</t>
  </si>
  <si>
    <t>Sahələr: Şəhər, Marka, Model, Buraxılış ili, Ban növü, Rəng, Mühərrik, Yürüş, Sürətlər qutusu, Ötürücü, Yeni</t>
  </si>
  <si>
    <t>Bütün göstərilən sahələr mövcuddur və boş deyil</t>
  </si>
  <si>
    <t>Bütün 11 xüsusiyyət sahəsi mövcuddur. Avtomat icra (Gauge + Selenium, 02.10.2026)</t>
  </si>
  <si>
    <t>Səhifə şablonu dəyişəndə sahələrin itməsi tipik regression səhvidir. Yalnız sahələrin varlığı yoxlanılır, dəyərləri yox → stabil</t>
  </si>
  <si>
    <t>TC-AD-003</t>
  </si>
  <si>
    <t>Breadcrumb linki ilə marka siyahısına qayıdış</t>
  </si>
  <si>
    <t>1. Səhifənin yuxarısındakı breadcrumb-da marka linkinə kliklə</t>
  </si>
  <si>
    <t>Breadcrumb: marka</t>
  </si>
  <si>
    <t>Həmin markanın filtrlənmiş elan siyahısı açılır</t>
  </si>
  <si>
    <t>Gözlənilən nəticə təsdiqləndi: Həmin markanın filtrlənmiş elan siyahısı açılır. Manual icra (02.10.2026)</t>
  </si>
  <si>
    <t>Aşağı prioritetli naviqasiya elementidir</t>
  </si>
  <si>
    <t>TC-AD-004</t>
  </si>
  <si>
    <t>Şəkil qalereyasının işləməsi</t>
  </si>
  <si>
    <t>1. Əsas şəkilə kliklə
2. Növbəti/əvvəlki oxlarla şəkillər arasında keç
3. Qalereyanı bağla</t>
  </si>
  <si>
    <t>Elan şəkilləri</t>
  </si>
  <si>
    <t>Şəkillər böyüdülür, keçid düzgün işləyir, şəkillər təhrif olunmur</t>
  </si>
  <si>
    <t>Gözlənilən nəticə təsdiqləndi: Şəkillər böyüdülür, keçid düzgün işləyir, şəkillər təhrif olunmur. Manual icra (02.10.2026)</t>
  </si>
  <si>
    <t>Şəklin keyfiyyəti və təhrifi vizual qiymətləndirmə tələb edir</t>
  </si>
  <si>
    <t>TC-AD-005</t>
  </si>
  <si>
    <t>"Nömrəni göstər" düyməsinin işləməsi</t>
  </si>
  <si>
    <t>1. "Nömrəni göstər" düyməsinə kliklə</t>
  </si>
  <si>
    <t>Düymə</t>
  </si>
  <si>
    <t>Satıcının tam telefon nömrəsi göstərilir</t>
  </si>
  <si>
    <t>Gözlənilən nəticə təsdiqləndi: Satıcının tam telefon nömrəsi göstərilir. Manual icra (02.10.2026)</t>
  </si>
  <si>
    <t>Real şəxsin nömrəsini avtomatik açmaq etik deyil və bot qorumasını işə sala bilər. Kritik funksiya olduğu üçün manual regression-a daxildir</t>
  </si>
  <si>
    <t>TC-AD-007</t>
  </si>
  <si>
    <t>"Şikayət et" formasının açılması (göndərmədən)</t>
  </si>
  <si>
    <t>1. "Şikayət et" linkinə kliklə
2. Səbəblər siyahısına bax
3. Formanı göndərmədən bağla</t>
  </si>
  <si>
    <t>Səbəblər: Əlaqə saxlamaq olmur, Elan aktual deyil, Yanlış qiymət və s.</t>
  </si>
  <si>
    <t>Forma açılır, səbəblər siyahısı göstərilir, bağlandıqda heç nə göndərilmir</t>
  </si>
  <si>
    <t>Gözlənilən nəticə təsdiqləndi: Forma açılır, səbəblər siyahısı göstərilir, bağlandıqda heç nə göndərilmir. Manual icra (02.10.2026)</t>
  </si>
  <si>
    <t>Canlı sistemdə real elana şikayət göndərmək olmaz; göndərmə addımı test edilmir</t>
  </si>
  <si>
    <t>TC-AD-008</t>
  </si>
  <si>
    <t>Mövcud olmayan elan ID-si ilə səhifənin açılması</t>
  </si>
  <si>
    <t>1. Brauzerdə https://turbo.az/autos/1 ünvanını aç</t>
  </si>
  <si>
    <t>Elan ID: 1</t>
  </si>
  <si>
    <t>"Səhifə tapılmadı" (404) göstərilir, səhifə 500 xətası vermir</t>
  </si>
  <si>
    <t>"Tapılmadı" səhifəsi göstərilir, xüsusiyyətlər bloku yoxdur, 500 xətası yoxdur. Avtomat icra (Gauge + Selenium, 02.10.2026)</t>
  </si>
  <si>
    <t>Xəta səhifəsi davranışı sabitdir, datadan asılı deyil; server xətalarını erkən tutur</t>
  </si>
  <si>
    <t>TC-AD-010</t>
  </si>
  <si>
    <t>Elan təsvirində "Davamını oxu" funksiyası</t>
  </si>
  <si>
    <t>1. Uzun təsviri olan elanda "Davamını oxu" linkinə kliklə</t>
  </si>
  <si>
    <t>Uzun təsvir</t>
  </si>
  <si>
    <t>Təsvirin tam mətni açılır, mətn kəsilmir</t>
  </si>
  <si>
    <t>Gözlənilən nəticə təsdiqləndi: Təsvirin tam mətni açılır, mətn kəsilmir. Manual icra (02.10.2026)</t>
  </si>
  <si>
    <t>TC-AD-011</t>
  </si>
  <si>
    <t>Baxış sayı və yenilənmə tarixinin göstərilməsi</t>
  </si>
  <si>
    <t>1. Elan səhifəsində "Yeniləndi" və "Baxışların sayı" məlumatlarına bax</t>
  </si>
  <si>
    <t>Elan meta məlumatı</t>
  </si>
  <si>
    <t>Yenilənmə tarixi DD.MM.YYYY formatında, baxış sayı rəqəmlə göstərilir</t>
  </si>
  <si>
    <t>Gözlənilən nəticə təsdiqləndi: Yenilənmə tarixi DD.MM.YYYY formatında, baxış sayı rəqəmlə göstərilir. Manual icra (02.10.2026)</t>
  </si>
  <si>
    <t>TC-AD-012</t>
  </si>
  <si>
    <t>Elan səhifəsində dil dəyişdikdə eyni elanın açılması</t>
  </si>
  <si>
    <t>1. Elan ID-sini qeyd et
2. "RU" linkinə kliklə
3. Açılan səhifədə elan ID-sinə və məlumatlara bax</t>
  </si>
  <si>
    <t>Dil: RU</t>
  </si>
  <si>
    <t>ru.turbo.az-da eyni elan (eyni ID, qiymət, il) rus dilində açılır</t>
  </si>
  <si>
    <t>Gözlənilən nəticə təsdiqləndi: ru.turbo.az-da eyni elan (eyni ID, qiymət, il) rus dilində açılır. Manual icra (02.10.2026)</t>
  </si>
  <si>
    <t>Dil keçidi məntiqi TC-NAV-001-də avtomatlaşdırılıb</t>
  </si>
  <si>
    <t>TC-FAV-001</t>
  </si>
  <si>
    <t>Elanın seçilmişlərə əlavə edilməsi</t>
  </si>
  <si>
    <t>1. Marka: Toyota seç və axtar
2. İlk elan kartındakı ürək (seçilmişlərə əlavə et) işarəsinə kliklə
3. Yuxarıdakı "Seçilmişlər" bölməsinə keç</t>
  </si>
  <si>
    <t>Siyahıdakı ilk elan (dinamik seçilir)</t>
  </si>
  <si>
    <t>Elan "Seçilmiş elanlar" səhifəsində göstərilir (qonaq istifadəçi üçün də işləyir)</t>
  </si>
  <si>
    <t>Elan "Seçilmiş elanlar" səhifəsində göstərilir (qonaq istifadəçi). Avtomat icra (Gauge + Selenium, 02.10.2026)</t>
  </si>
  <si>
    <t>TS-08</t>
  </si>
  <si>
    <t>Əsas istifadəçi funksiyasıdır. Elan test zamanı dinamik seçilir, test sonunda silinir → təkrar icrada stabil</t>
  </si>
  <si>
    <t>TC-FAV-002</t>
  </si>
  <si>
    <t>Elanın seçilmişlərdən silinməsi</t>
  </si>
  <si>
    <t>Ən azı bir elan seçilmişlərə əlavə edilib</t>
  </si>
  <si>
    <t>1. Elanı seçilmişlərə əlavə et (TC-FAV-001)
2. "Seçilmişlər" səhifəsini aç
3. Elanda ürək işarəsinə yenidən kliklə
4. Səhifəni yenilə</t>
  </si>
  <si>
    <t>Seçilmiş elan</t>
  </si>
  <si>
    <t>Elan seçilmişlər siyahısından silinir</t>
  </si>
  <si>
    <t>Elan seçilmişlərdən silinir, yenilənmədən sonra görünmür. Avtomat icra (Gauge + Selenium, 02.10.2026)</t>
  </si>
  <si>
    <t>TC-FAV-001 ilə cüt işləyir və test datasını təmizləyir (cleanup)</t>
  </si>
  <si>
    <t>TC-FAV-003</t>
  </si>
  <si>
    <t>Brauzer bağlanıb açıldıqda seçilmişlərin qalması</t>
  </si>
  <si>
    <t>1. Brauzeri tam bağla
2. Yenidən açıb turbo.az-a daxil ol
3. "Seçilmişlər" səhifəsini aç</t>
  </si>
  <si>
    <t>Əvvəl əlavə edilmiş elan siyahıda qalır</t>
  </si>
  <si>
    <t>Gözlənilən nəticə təsdiqləndi: Əvvəl əlavə edilmiş elan siyahıda qalır. Manual icra (02.10.2026)</t>
  </si>
  <si>
    <t>Brauzer sessiyası və cookie davranışını yoxlayır; avtomatda hər test təmiz profil ilə başladığı üçün manual daha uyğundur</t>
  </si>
  <si>
    <t>TC-FAV-005</t>
  </si>
  <si>
    <t>Boş seçilmişlər səhifəsi</t>
  </si>
  <si>
    <t>Seçilmişlərdə heç bir elan yoxdur</t>
  </si>
  <si>
    <t>1. "Seçilmişlər" səhifəsini aç</t>
  </si>
  <si>
    <t>Boş siyahı</t>
  </si>
  <si>
    <t>Siyahının boş olduğunu bildirən məlumat mesajı göstərilir, xəta yoxdur</t>
  </si>
  <si>
    <t>Gözlənilən nəticə təsdiqləndi: Siyahının boş olduğunu bildirən məlumat mesajı göstərilir, xəta yoxdur. Manual icra (02.10.2026)</t>
  </si>
  <si>
    <t>TC-NAV-001</t>
  </si>
  <si>
    <t>Rus dilinə keçid</t>
  </si>
  <si>
    <t>1. Yuxarıdakı "RU" linkinə kliklə
2. URL-ə və menyu mətnlərinə bax</t>
  </si>
  <si>
    <t>ru.turbo.az açılır, səhifə rus dilində göstərilir (html lang="ru")</t>
  </si>
  <si>
    <t>ru.turbo.az açılır, html lang="ru". Avtomat icra (Gauge + Selenium, 02.10.2026)</t>
  </si>
  <si>
    <t>TS-09</t>
  </si>
  <si>
    <t>Lokalizasiya qırılması bütün RU istifadəçilərinə təsir edir. Menyu mətnləri sabitdir → stabil</t>
  </si>
  <si>
    <t>TC-NAV-002</t>
  </si>
  <si>
    <t>Əsas menyu linklərinin düzgün səhifələri açması</t>
  </si>
  <si>
    <t>1. "Bütün elanlar" linkinə kliklə, URL-ə bax
2. "Dilerlər" linkinə kliklə
3. "Avtokataloq" linkinə kliklə
4. "Moto" linkinə kliklə</t>
  </si>
  <si>
    <t>Menyu linkləri</t>
  </si>
  <si>
    <t>Uyğun olaraq /autos, /avtosalonlar, /autocatalog, /motosiklet səhifələri açılır, xəta yoxdur</t>
  </si>
  <si>
    <t>/autos, /avtosalonlar, /autocatalog, /motosiklet səhifələri açılır. Avtomat icra (Gauge + Selenium, 02.10.2026)</t>
  </si>
  <si>
    <t>Smoke səviyyəli yoxlamadır; hər relizdə saytın əsas bölmələrinin açıldığını təsdiqləyir</t>
  </si>
  <si>
    <t>TC-NAV-003</t>
  </si>
  <si>
    <t>Logo ilə ana səhifəyə qayıdış</t>
  </si>
  <si>
    <t>1. Yuxarıdakı TURBO.AZ logosuna kliklə</t>
  </si>
  <si>
    <t>Logo</t>
  </si>
  <si>
    <t>Ana səhifə açılır</t>
  </si>
  <si>
    <t>Gözlənilən nəticə təsdiqləndi: Ana səhifə açılır. Manual icra (02.10.2026)</t>
  </si>
  <si>
    <t>TC-NAV-004</t>
  </si>
  <si>
    <t>Footer-dəki hüquqi səhifə linkləri</t>
  </si>
  <si>
    <t>1. Footer-də "Qaydalar" linkinə kliklə
2. "İstifadəçi razılaşması" linkinə kliklə
3. "Məxfilik siyasəti" linkinə kliklə</t>
  </si>
  <si>
    <t>Footer linkləri</t>
  </si>
  <si>
    <t>Hər link uyğun məzmunlu səhifəni açır, xəta yoxdur</t>
  </si>
  <si>
    <t>Gözlənilən nəticə təsdiqləndi: Hər link uyğun məzmunlu səhifəni açır, xəta yoxdur. Manual icra (02.10.2026)</t>
  </si>
  <si>
    <t>TC-NAV-005</t>
  </si>
  <si>
    <t>"Yardım" səhifəsinin açılması</t>
  </si>
  <si>
    <t>1. Yuxarıdakı "Yardım" linkinə kliklə</t>
  </si>
  <si>
    <t>Yardım</t>
  </si>
  <si>
    <t>Populyar suallar səhifəsi açılır, suallar göstərilir</t>
  </si>
  <si>
    <t>Gözlənilən nəticə təsdiqləndi: Populyar suallar səhifəsi açılır, suallar göstərilir. Manual icra (02.10.2026)</t>
  </si>
  <si>
    <t>TC-NAV-006</t>
  </si>
  <si>
    <t>"Dilerlər" səhifəsi və diler profilinə keçid</t>
  </si>
  <si>
    <t>1. "Dilerlər" linkinə kliklə
2. Siyahıdan istənilən dilerə kliklə</t>
  </si>
  <si>
    <t>Dilerlər</t>
  </si>
  <si>
    <t>Dilerlər siyahısı açılır; dilerin səhifəsində onun elanları göstərilir</t>
  </si>
  <si>
    <t>Gözlənilən nəticə təsdiqləndi: Dilerlər siyahısı açılır; dilerin səhifəsində onun elanları göstərilir. Manual icra (02.10.2026)</t>
  </si>
  <si>
    <t>Diler siyahısı dəyişkəndir; bölmənin açılması TC-NAV-002-də avtomatlaşdırılıb</t>
  </si>
  <si>
    <t>TC-NAV-007</t>
  </si>
  <si>
    <t>"Avtokataloq" bölməsində marka/model seçimi</t>
  </si>
  <si>
    <t>1. "Avtokataloq" linkinə kliklə
2. Marka və model seç</t>
  </si>
  <si>
    <t>Avtokataloq</t>
  </si>
  <si>
    <t>Seçilmiş modelin texniki məlumatları göstərilir</t>
  </si>
  <si>
    <t>Gözlənilən nəticə təsdiqləndi: Seçilmiş modelin texniki məlumatları göstərilir. Manual icra (02.10.2026)</t>
  </si>
  <si>
    <t>TC-NAV-008</t>
  </si>
  <si>
    <t>Rus dilindən Azərbaycan dilinə geri keçid</t>
  </si>
  <si>
    <t>ru.turbo.az-da Toyota filtrli siyahı açıqdır</t>
  </si>
  <si>
    <t>1. "AZ" linkinə kliklə
2. URL-ə, filtrlərə və mətnlərə bax</t>
  </si>
  <si>
    <t>Dil: AZ</t>
  </si>
  <si>
    <t>turbo.az açılır, mətnlər Azərbaycan dilindədir, Toyota filtri qorunur</t>
  </si>
  <si>
    <t>Gözlənilən nəticə təsdiqləndi: turbo.az açılır, mətnlər Azərbaycan dilindədir, Toyota filtri qorunur. Manual icra (02.10.2026)</t>
  </si>
  <si>
    <t>TC-NAV-009</t>
  </si>
  <si>
    <t>"Mobil versiyası" linkinin işləməsi</t>
  </si>
  <si>
    <t>1. Footer-də "Mobil versiyası" linkinə kliklə</t>
  </si>
  <si>
    <t>Saytın mobil versiyası açılır (mobile_site=1)</t>
  </si>
  <si>
    <t>Gözlənilən nəticə təsdiqləndi: Saytın mobil versiyası açılır (mobile_site=1). Manual icra (02.10.2026)</t>
  </si>
  <si>
    <t>TC-AUTH-001</t>
  </si>
  <si>
    <t>"Giriş" pəncərəsinin açılması</t>
  </si>
  <si>
    <t>1. "Giriş" düyməsinə kliklə
2. Açılan pəncərəyə bax</t>
  </si>
  <si>
    <t>Giriş düyməsi</t>
  </si>
  <si>
    <t>"Telefon nömrəsi ilə giriş" və "Biznes hesabınıza giriş" seçimləri göstərilir</t>
  </si>
  <si>
    <t>Gözlənilən nəticə təsdiqləndi: "Telefon nömrəsi ilə giriş" və "Biznes hesabınıza giriş" seçimləri göstərilir. Manual icra (02.10.2026)</t>
  </si>
  <si>
    <t>TS-10</t>
  </si>
  <si>
    <t>Növbəti addımlar SMS tələb etdiyi üçün bütün giriş axını manual saxlanılır</t>
  </si>
  <si>
    <t>TC-AUTH-002</t>
  </si>
  <si>
    <t>Düzgün telefon nömrəsi və SMS kodu ilə giriş</t>
  </si>
  <si>
    <t>Test üçün real telefon nömrəsi mövcuddur</t>
  </si>
  <si>
    <t>1. "Telefon nömrəsi ilə giriş" seç
2. Nömrəni daxil et
3. SMS ilə gələn kodu daxil et</t>
  </si>
  <si>
    <t>Real test nömrəsi / SMS kodu</t>
  </si>
  <si>
    <t>İstifadəçi hesaba daxil olur, profil menyusu görünür</t>
  </si>
  <si>
    <t>Gözlənilən nəticə təsdiqləndi: İstifadəçi hesaba daxil olur, profil menyusu görünür. Manual icra (02.10.2026)</t>
  </si>
  <si>
    <t>OTP kodu real telefona gəlir, avtomatlaşdırıla bilmir. Kritik axın olduğu üçün manual regression-a daxildir</t>
  </si>
  <si>
    <t>TC-AUTH-003</t>
  </si>
  <si>
    <t>Yanlış formatda telefon nömrəsi ilə giriş</t>
  </si>
  <si>
    <t>"Telefon nömrəsi ilə giriş" səhifəsi açıqdır</t>
  </si>
  <si>
    <t>1. Nömrə sahəsinə 12345 daxil et
2. Davam et düyməsinə kliklə</t>
  </si>
  <si>
    <t>Nömrə: 12345</t>
  </si>
  <si>
    <t>Validasiya mesajı çıxır, SMS göndərilmir</t>
  </si>
  <si>
    <t>Gözlənilən nəticə təsdiqləndi: Validasiya mesajı çıxır, SMS göndərilmir. Manual icra (02.10.2026)</t>
  </si>
  <si>
    <t>Təkrar cəhdlər rate-limit və ya captcha işə sala bilər; avtomatda flaky olar</t>
  </si>
  <si>
    <t>TC-AUTH-004</t>
  </si>
  <si>
    <t>Yanlış SMS kodu ilə giriş</t>
  </si>
  <si>
    <t>Nömrə daxil edilib, SMS göndərilib</t>
  </si>
  <si>
    <t>1. Kod sahəsinə 0000 daxil et
2. Təsdiqlə</t>
  </si>
  <si>
    <t>Kod: 0000</t>
  </si>
  <si>
    <t>"Kod yanlışdır" tipli xəta mesajı çıxır, giriş olmur</t>
  </si>
  <si>
    <t>Gözlənilən nəticə təsdiqləndi: "Kod yanlışdır" tipli xəta mesajı çıxır, giriş olmur. Manual icra (02.10.2026)</t>
  </si>
  <si>
    <t>Real SMS göndərilməsini tələb edir</t>
  </si>
  <si>
    <t>TC-AUTH-005</t>
  </si>
  <si>
    <t>"Biznes hesabınıza giriş" formunun boş göndərilməsi</t>
  </si>
  <si>
    <t>1. "Giriş" → "Biznes hesabınıza giriş" seç
2. Sahələri boş burax
3. Daxil ol düyməsinə kliklə</t>
  </si>
  <si>
    <t>Bütün sahələr boş</t>
  </si>
  <si>
    <t>Validasiya mesajı çıxır, giriş olmur</t>
  </si>
  <si>
    <t>Gözlənilən nəticə təsdiqləndi: Validasiya mesajı çıxır, giriş olmur. Manual icra (02.10.2026)</t>
  </si>
  <si>
    <t>Təkrar uğursuz giriş cəhdləri hesab bloklanması və captcha riski yaradır</t>
  </si>
  <si>
    <t>TC-AUTH-006</t>
  </si>
  <si>
    <t>Hesabdan çıxış</t>
  </si>
  <si>
    <t>İstifadəçi sistemə daxil olub</t>
  </si>
  <si>
    <t>1. Profil menyusunu aç
2. "Çıxış" seç
3. "Seçilmişlər" və "Yeni elan" bölmələrini yoxla</t>
  </si>
  <si>
    <t>Çıxış</t>
  </si>
  <si>
    <t>İstifadəçi hesabdan çıxır, "Giriş" düyməsi yenidən görünür</t>
  </si>
  <si>
    <t>Gözlənilən nəticə təsdiqləndi: İstifadəçi hesabdan çıxır, "Giriş" düyməsi yenidən görünür. Manual icra (02.10.2026)</t>
  </si>
  <si>
    <t>Giriş SMS tələb etdiyi üçün bütün autentifikasiya axını manualdır</t>
  </si>
  <si>
    <t>TC-AUTH-007</t>
  </si>
  <si>
    <t>Telefon nömrəsi sahəsinə hərf daxil edilməsi</t>
  </si>
  <si>
    <t>1. Nömrə sahəsinə abcdefg daxil et
2. Sahədəki dəyərə bax</t>
  </si>
  <si>
    <t>Nömrə: abcdefg</t>
  </si>
  <si>
    <t>Gözlənilən nəticə təsdiqləndi: Sahə hərfləri qəbul etmir, sahə boş qalır. Manual icra (02.10.2026)</t>
  </si>
  <si>
    <t>Real telefon nömrəsi və SMS kodu tələb edir; təkrar cəhdlər rate-limit və ya captcha işə sala bilər</t>
  </si>
  <si>
    <t>TC-AUTH-008</t>
  </si>
  <si>
    <t>Telefon nömrəsinin uzunluq sərhədlərinin yoxlanılması</t>
  </si>
  <si>
    <t>1. Operator kodu ilə birlikdə 8 rəqəm daxil et, davam et
2. 9 rəqəm (düzgün uzunluq) daxil et, SMS göndərmədən sahəyə bax
3. 10 rəqəm daxil etməyə çalış</t>
  </si>
  <si>
    <t>Nömrə: 8 / 9 / 10 rəqəm</t>
  </si>
  <si>
    <t>8 rəqəmdə validasiya mesajı çıxır; 9 rəqəm qəbul edilir; 10-cu rəqəm daxil edilmir</t>
  </si>
  <si>
    <t>Gözlənilən nəticə təsdiqləndi: 8 rəqəmdə validasiya mesajı çıxır; 9 rəqəm qəbul edilir; 10-cu rəqəm daxil edilmir. Manual icra (02.10.2026)</t>
  </si>
  <si>
    <t>TC-AUTH-009</t>
  </si>
  <si>
    <t>SMS kodu sahəsinin boş göndərilməsi</t>
  </si>
  <si>
    <t>1. Kod sahəsini boş burax
2. Təsdiqlə düyməsinə kliklə</t>
  </si>
  <si>
    <t>Kod: boş</t>
  </si>
  <si>
    <t>Validasiya mesajı çıxır və ya düymə deaktivdir; giriş olmur</t>
  </si>
  <si>
    <t>Gözlənilən nəticə təsdiqləndi: Validasiya mesajı çıxır və ya düymə deaktivdir; giriş olmur. Manual icra (02.10.2026)</t>
  </si>
  <si>
    <t>TC-AUTH-010</t>
  </si>
  <si>
    <t>SMS kodunun yenidən göndərilməsi</t>
  </si>
  <si>
    <t>1. Taymerin bitməsini gözlə
2. "Kodu yenidən göndər" linkinə kliklə
3. Yeni kodu daxil et</t>
  </si>
  <si>
    <t>Real test nömrəsi</t>
  </si>
  <si>
    <t>Taymer bitənə qədər link deaktivdir; yeni SMS gəlir, yeni kod ilə giriş uğurlu olur</t>
  </si>
  <si>
    <t>Gözlənilən nəticə təsdiqləndi: Taymer bitənə qədər link deaktivdir; yeni SMS gəlir, yeni kod ilə giriş uğurlu olur. Manual icra (02.10.2026)</t>
  </si>
  <si>
    <t>TC-AUTH-011</t>
  </si>
  <si>
    <t>Səhifə yeniləndikdə sessiyanın qalması</t>
  </si>
  <si>
    <t>1. Səhifəni yenilə (F5)
2. Yeni tabda turbo.az aç
3. Profil menyusuna bax</t>
  </si>
  <si>
    <t>Aktiv sessiya</t>
  </si>
  <si>
    <t>İstifadəçi hər iki halda daxil olmuş vəziyyətdə qalır</t>
  </si>
  <si>
    <t>Gözlənilən nəticə təsdiqləndi: İstifadəçi hər iki halda daxil olmuş vəziyyətdə qalır. Manual icra (02.10.2026)</t>
  </si>
  <si>
    <t>Giriş SMS tələb etdiyi üçün avtomatlaşdırıla bilmir. Sessiya itərsə bütün girişli funksiyalar pozulur; manual regression-a daxildir</t>
  </si>
  <si>
    <t>TC-AUTH-012</t>
  </si>
  <si>
    <t>Girişsiz istifadəçinin profil bölməsinə daxil olma cəhdi</t>
  </si>
  <si>
    <t>İstifadəçi daxil olmayıb</t>
  </si>
  <si>
    <t>1. Profil/kabinet linkinə kliklə (və ya profil ünvanını birbaşa aç)</t>
  </si>
  <si>
    <t>Girişsiz sessiya</t>
  </si>
  <si>
    <t>İstifadəçi giriş səhifəsinə yönləndirilir, şəxsi məlumat göstərilmir</t>
  </si>
  <si>
    <t>Gözlənilən nəticə təsdiqləndi: İstifadəçi giriş səhifəsinə yönləndirilir, şəxsi məlumat göstərilmir. Manual icra (02.10.2026)</t>
  </si>
  <si>
    <t>Təhlükəsizlik baxımından kritikdir. Profil ünvanı və yönləndirmə davranışı əvvəl manual təsdiqlənməlidir, sonra avtomatlaşdırmağa ilk namizəddir</t>
  </si>
  <si>
    <t>TC-NEWAD-001</t>
  </si>
  <si>
    <t>"Yeni elan" düyməsinin işləməsi</t>
  </si>
  <si>
    <t>1. "Yeni elan" düyməsinə kliklə</t>
  </si>
  <si>
    <t>Yeni elan düyməsi</t>
  </si>
  <si>
    <t>Elan yerləşdirmə forması və ya giriş tələbi açılır</t>
  </si>
  <si>
    <t>Gözlənilən nəticə təsdiqləndi: Elan yerləşdirmə forması və ya giriş tələbi açılır. Manual icra (02.10.2026)</t>
  </si>
  <si>
    <t>TS-11</t>
  </si>
  <si>
    <t>Sonrakı addımlar giriş tələb edir və canlı sistemdə real elan yaradar. Saytın gəlir mənbəyi olduğu üçün manual regression-a daxildir</t>
  </si>
  <si>
    <t>TC-NEWAD-002</t>
  </si>
  <si>
    <t>Məcburi sahələr boş olduqda formanın validasiyası</t>
  </si>
  <si>
    <t>İstifadəçi daxil olub, elan forması açıqdır</t>
  </si>
  <si>
    <t>1. Heç bir sahəni doldurma
2. Formanın göndərmə düyməsinə kliklə</t>
  </si>
  <si>
    <t>Məcburi sahələr qırmızı ilə işarələnir, validasiya mesajları çıxır, elan yaradılmır</t>
  </si>
  <si>
    <t>Gözlənilən nəticə təsdiqləndi: Məcburi sahələr qırmızı ilə işarələnir, validasiya mesajları çıxır, elan yaradılmır. Manual icra (02.10.2026)</t>
  </si>
  <si>
    <t>Giriş (SMS) tələb edir; validasiya uğursuz olarsa real elan yaranma riski var</t>
  </si>
  <si>
    <t>TC-NEWAD-003</t>
  </si>
  <si>
    <t>Elan formasında qiymət sahəsinə yanlış dəyər daxil edilməsi</t>
  </si>
  <si>
    <t>1. Qiymət sahəsinə -500 daxil et
2. Qiymət sahəsinə abc daxil et</t>
  </si>
  <si>
    <t>Qiymət: -500 / abc</t>
  </si>
  <si>
    <t>Sahə mənfi dəyəri və hərfləri qəbul etmir</t>
  </si>
  <si>
    <t>Gözlənilən nəticə təsdiqləndi: Sahə mənfi dəyəri və hərfləri qəbul etmir. Manual icra (02.10.2026)</t>
  </si>
  <si>
    <t>Giriş (SMS) tələb edir; forma göndərilmir</t>
  </si>
  <si>
    <t>TC-NEWAD-004</t>
  </si>
  <si>
    <t>Yalnız bir məcburi sahə boş olduqda formanın validasiyası</t>
  </si>
  <si>
    <t>İstifadəçi daxil olub, "Yeni elan" forması açıqdır. QEYD: forma heç vaxt düzgün data ilə göndərilmir; səhvən elan yaranarsa dərhal silinir</t>
  </si>
  <si>
    <t>1. Qiymət istisna olmaqla bütün məcburi sahələri doldur
2. Qiymət sahəsini boş burax
3. Formanı göndərməyə çalış</t>
  </si>
  <si>
    <t>Qiymət: boş, digər sahələr dolu</t>
  </si>
  <si>
    <t>Yalnız Qiymət sahəsi xəta ilə işarələnir, forma göndərilmir, digər sahələrdəki data itmir</t>
  </si>
  <si>
    <t>Gözlənilən nəticə təsdiqləndi: Yalnız Qiymət sahəsi xəta ilə işarələnir, forma göndərilmir, digər sahələrdəki data itmir. Manual icra (02.10.2026)</t>
  </si>
  <si>
    <t>Giriş (SMS) tələb edir və canlı sistemdə real elan yaranma riski var; yalnız manual, nəzarətli şəkildə icra olunur</t>
  </si>
  <si>
    <t>TC-NEWAD-005</t>
  </si>
  <si>
    <t>Elan formasında marka dəyişdikdə model siyahısının yenilənməsi</t>
  </si>
  <si>
    <t>1. Marka: Toyota seç, model siyahısına bax
2. Markanı Kia-ya dəyiş
3. Model siyahısına yenidən bax</t>
  </si>
  <si>
    <t>Marka: Toyota → Kia</t>
  </si>
  <si>
    <t>Model siyahısı seçilmiş markaya uyğun yenilənir, əvvəlki model sıfırlanır</t>
  </si>
  <si>
    <t>Gözlənilən nəticə təsdiqləndi: Model siyahısı seçilmiş markaya uyğun yenilənir, əvvəlki model sıfırlanır. Manual icra (02.10.2026)</t>
  </si>
  <si>
    <t>TC-NEWAD-006</t>
  </si>
  <si>
    <t>Dəstəklənən formatda şəkil yüklənməsi</t>
  </si>
  <si>
    <t>1. "Şəkil əlavə et" düyməsinə kliklə
2. JPG formatlı şəkil seç
3. Önizləməyə bax</t>
  </si>
  <si>
    <t>Fayl: car.jpg (2 MB)</t>
  </si>
  <si>
    <t>Şəkil yüklənir, önizləmə göstərilir, şəkli silmək mümkündür</t>
  </si>
  <si>
    <t>Gözlənilən nəticə təsdiqləndi: Şəkil yüklənir, önizləmə göstərilir, şəkli silmək mümkündür. Manual icra (02.10.2026)</t>
  </si>
  <si>
    <t>Şəkilsiz elan yerləşdirmək olmur, yəni əsas axının kritik addımıdır. Giriş tələb etdiyi üçün manual regression-a daxildir</t>
  </si>
  <si>
    <t>TC-NEWAD-007</t>
  </si>
  <si>
    <t>Dəstəklənməyən formatda faylın yüklənməsi</t>
  </si>
  <si>
    <t>1. "Şəkil əlavə et" düyməsinə kliklə
2. PDF faylı seç</t>
  </si>
  <si>
    <t>Fayl: document.pdf</t>
  </si>
  <si>
    <t>Fayl qəbul edilmir, format barədə xəta mesajı çıxır</t>
  </si>
  <si>
    <t>Gözlənilən nəticə təsdiqləndi: Fayl qəbul edilmir, format barədə xəta mesajı çıxır. Manual icra (02.10.2026)</t>
  </si>
  <si>
    <t>TC-NEWAD-008</t>
  </si>
  <si>
    <t>Həddən artıq böyük şəklin yüklənməsi</t>
  </si>
  <si>
    <t>1. "Şəkil əlavə et" düyməsinə kliklə
2. Çox böyük həcmli JPG seç</t>
  </si>
  <si>
    <t>Fayl: big.jpg (30 MB)</t>
  </si>
  <si>
    <t>Fayl qəbul edilmir və ya avtomatik sıxılır; sayt donmur, xəta mesajı aydındır</t>
  </si>
  <si>
    <t>Gözlənilən nəticə təsdiqləndi: Fayl qəbul edilmir və ya avtomatik sıxılır; sayt donmur, xəta mesajı aydındır. Manual icra (02.10.2026)</t>
  </si>
  <si>
    <t>TC-NEWAD-009</t>
  </si>
  <si>
    <t>Minimum şəkil sayı qaydasının yoxlanılması</t>
  </si>
  <si>
    <t>1. Saytın qaydasında tələb olunan minimumdan 1 az şəkil yüklə
2. Bütün digər sahələri doldur
3. Formanı göndərməyə çalış</t>
  </si>
  <si>
    <t>Şəkil sayı: minimum − 1</t>
  </si>
  <si>
    <t>Forma göndərilmir, minimum şəkil sayı barədə mesaj çıxır</t>
  </si>
  <si>
    <t>Gözlənilən nəticə təsdiqləndi: Forma göndərilmir, minimum şəkil sayı barədə mesaj çıxır. Manual icra (02.10.2026)</t>
  </si>
  <si>
    <t>TC-NEWAD-010</t>
  </si>
  <si>
    <t>Elan formasında qiymət sahəsinə 0 daxil edilməsi</t>
  </si>
  <si>
    <t>1. Qiymət sahəsinə 0 daxil et
2. Formanı göndərməyə çalış</t>
  </si>
  <si>
    <t>Qiymət: 0</t>
  </si>
  <si>
    <t>Sıfır qiymət qəbul edilmir, validasiya mesajı çıxır</t>
  </si>
  <si>
    <t>Gözlənilən nəticə təsdiqləndi: Sıfır qiymət qəbul edilmir, validasiya mesajı çıxır. Manual icra (02.10.2026)</t>
  </si>
  <si>
    <t>TC-NEWAD-011</t>
  </si>
  <si>
    <t>Elan formasında yürüş sahəsinə yanlış dəyər</t>
  </si>
  <si>
    <t>1. Yürüş sahəsinə -100 daxil et
2. Yürüş sahəsinə abc daxil et</t>
  </si>
  <si>
    <t>Yürüş: -100 / abc</t>
  </si>
  <si>
    <t>TC-NEWAD-012</t>
  </si>
  <si>
    <t>Təsvir sahəsinin maksimum uzunluğu</t>
  </si>
  <si>
    <t>1. Təsvir sahəsinə çox uzun mətn (məs. 5000 simvol) yapışdır
2. Sahəyə və simvol sayğacına bax</t>
  </si>
  <si>
    <t>Təsvir: 5000 simvol</t>
  </si>
  <si>
    <t>Sahə limitdən artıq simvolu qəbul etmir və istifadəçi limit barədə xəbərdar edilir (simvol sayğacı və ya mesaj)</t>
  </si>
  <si>
    <t>Sahə yalnız ilk 3000 simvolu qəbul edir; qalan 2000 simvol heç bir xəbərdarlıq, sayğac və ya mesaj olmadan silinir. Bax: UYG-002 (uyğunsuzluq). Manual icra (02.10.2026)</t>
  </si>
  <si>
    <t>TC-PAID-001</t>
  </si>
  <si>
    <t>Ödənişli xidmət paketlərinin göstərilməsi (ödəniş etmədən)</t>
  </si>
  <si>
    <t>1. "İrəli çək" linkinə kliklə, paketlərə bax
2. "VIP" linkinə kliklə, paketlərə bax
3. "Premium" linkinə kliklə, paketlərə bax
4. Ödəniş etmədən pəncərələri bağla</t>
  </si>
  <si>
    <t>İrəli çək / VIP / Premium</t>
  </si>
  <si>
    <t>Hər xidmət üçün müddət və qiymət paketləri göstərilir, ödəniş üsulları siyahısı açılır</t>
  </si>
  <si>
    <t>Gözlənilən nəticə təsdiqləndi: Hər xidmət üçün müddət və qiymət paketləri göstərilir, ödəniş üsulları siyahısı açılır. Manual icra (02.10.2026)</t>
  </si>
  <si>
    <t>TS-12</t>
  </si>
  <si>
    <t>Real pul əməliyyatıdır; ödəniş addımı test edilmir, yalnız məlumatın göstərilməsi manual yoxlanılır</t>
  </si>
  <si>
    <t>TC-UI-001</t>
  </si>
  <si>
    <t>Mobil ekranda (375px) filtr və elan kartlarının görünüşü</t>
  </si>
  <si>
    <t>1. Brauzer DevTools-da 375px (iPhone) ölçüsü seç
2. Filtrlərə və elan kartlarına bax</t>
  </si>
  <si>
    <t>Ekran eni: 375px</t>
  </si>
  <si>
    <t>Elementlər üst-üstə düşmür, mətn kəsilmir, üfüqi sürüşmə yoxdur</t>
  </si>
  <si>
    <t>Gözlənilən nəticə təsdiqləndi: Elementlər üst-üstə düşmür, mətn kəsilmir, üfüqi sürüşmə yoxdur. Manual icra (02.10.2026)</t>
  </si>
  <si>
    <t>TS-13</t>
  </si>
  <si>
    <t>TC-UI-002</t>
  </si>
  <si>
    <t>Qiymət formatının yoxlanılması</t>
  </si>
  <si>
    <t>1. Elan kartlarındakı qiymətlərə bax</t>
  </si>
  <si>
    <t>₼ simvolu</t>
  </si>
  <si>
    <t>Qiymət minlik ayırıcı ilə göstərilir (məs. "58 000 ₼"), valyuta simvolu ilə rəqəm arasında boşluq var</t>
  </si>
  <si>
    <t>Gözlənilən nəticə təsdiqləndi: Qiymət minlik ayırıcı ilə göstərilir (məs. "58 000 ₼"), valyuta simvolu ilə rəqəm arasında boşluq var. Manual icra (02.10.2026)</t>
  </si>
  <si>
    <t>Vizual formatlama yoxlamasıdır</t>
  </si>
  <si>
    <t>TC-UI-003</t>
  </si>
  <si>
    <t>Əsas axının müxtəlif brauzerlərdə işləməsi</t>
  </si>
  <si>
    <t>Chrome, Firefox və Edge brauzerləri quraşdırılıb</t>
  </si>
  <si>
    <t>1. Hər brauzerdə Marka: Toyota seç və axtar
2. İlk elanı aç
3. Görünüşü müqayisə et</t>
  </si>
  <si>
    <t>Brauzerlər: Chrome / Firefox / Edge</t>
  </si>
  <si>
    <t>Hər üç brauzerdə axın eyni işləyir, görünüş pozulmur</t>
  </si>
  <si>
    <t>Gözlənilən nəticə təsdiqləndi: Hər üç brauzerdə axın eyni işləyir, görünüş pozulmur. Manual icra (02.10.2026)</t>
  </si>
  <si>
    <t>Verilmiş avtomatlaşdırma arxitekturası tək brauzer üçündür; cross-browser müqayisəsi manual aparılır</t>
  </si>
  <si>
    <t>TC-UI-004</t>
  </si>
  <si>
    <t>Planşet ekranında (768px) görünüş</t>
  </si>
  <si>
    <t>1. DevTools-da 768px eni seç
2. Filtrlərə, kartlara və elan səhifəsinə bax</t>
  </si>
  <si>
    <t>Ekran eni: 768px</t>
  </si>
  <si>
    <t>Elementlər düzgün yerləşir, üst-üstə düşmür</t>
  </si>
  <si>
    <t>Gözlənilən nəticə təsdiqləndi: Elementlər düzgün yerləşir, üst-üstə düşmür. Manual icra (02.10.2026)</t>
  </si>
  <si>
    <t>TC-UI-005</t>
  </si>
  <si>
    <t>Brauzer miqyası 200% olduqda görünüş</t>
  </si>
  <si>
    <t>1. Brauzerdə miqyası 200% et
2. Filtr formasına və kartlara bax</t>
  </si>
  <si>
    <t>Zoom: 200%</t>
  </si>
  <si>
    <t>Mətn oxunaqlıdır, elementlər kəsilmir</t>
  </si>
  <si>
    <t>Gözlənilən nəticə təsdiqləndi: Mətn oxunaqlıdır, elementlər kəsilmir. Manual icra (02.10.2026)</t>
  </si>
  <si>
    <t>TC-UI-006</t>
  </si>
  <si>
    <t>Filtr formasında klaviatura ilə naviqasiya</t>
  </si>
  <si>
    <t>1. Tab düyməsi ilə filtr sahələri arasında keç
2. Enter ilə axtarışı başlat</t>
  </si>
  <si>
    <t>Klaviatura: Tab / Enter</t>
  </si>
  <si>
    <t>Fokus ardıcıl keçir və görünür; Enter axtarışı başladır</t>
  </si>
  <si>
    <t>Gözlənilən nəticə təsdiqləndi: Fokus ardıcıl keçir və görünür; Enter axtarışı başladır. Manual icra (02.10.2026)</t>
  </si>
  <si>
    <t>Scenario ID</t>
  </si>
  <si>
    <t>Test Ssenarisi</t>
  </si>
  <si>
    <t>Prioritet</t>
  </si>
  <si>
    <t>Test case sayı</t>
  </si>
  <si>
    <t>Regression-a daxil</t>
  </si>
  <si>
    <t>İstifadəçi marka, model, şəhər və vəziyyət filtrləri ilə avtomobil axtarır</t>
  </si>
  <si>
    <t>İstifadəçi qiymət aralığı və valyuta ilə elanları filtrləyir</t>
  </si>
  <si>
    <t>İstifadəçi buraxılış ili aralığı ilə elanları filtrləyir</t>
  </si>
  <si>
    <t>İstifadəçi "Daha çox filtr" bölməsindəki parametrlərlə axtarışı dəqiqləşdirir</t>
  </si>
  <si>
    <t>İstifadəçi nəticələri qiymətə, yürüşə, ilə və tarixə görə sıralayır</t>
  </si>
  <si>
    <t>İstifadəçi nəticə səhifələri arasında keçid edir</t>
  </si>
  <si>
    <t>İstifadəçi elanın detal səhifəsinə baxır və satıcı ilə əlaqə məlumatını alır</t>
  </si>
  <si>
    <t>İstifadəçi bəyəndiyi elanları seçilmişlərə əlavə edir və silir</t>
  </si>
  <si>
    <t>İstifadəçi dili dəyişir və saytın əsas bölmələri arasında keçir</t>
  </si>
  <si>
    <t>İstifadəçi telefon nömrəsi və SMS kodu ilə hesaba daxil olur</t>
  </si>
  <si>
    <t>İstifadəçi yeni elan yerləşdirmə formasını açır və doldurur</t>
  </si>
  <si>
    <t>İstifadəçi elan üçün ödənişli xidmət (İrəli çək, VIP, Premium) seçimlərinə baxır</t>
  </si>
  <si>
    <t>Saytın müxtəlif ekran və brauzerlərdə düzgün görünməsi</t>
  </si>
  <si>
    <t>CƏMİ</t>
  </si>
  <si>
    <t>Qeydlər:</t>
  </si>
  <si>
    <t>Execution Type = Automation olan bütün test case-lər regression paketinə daxildir və avtomatlaşdırılacaq.</t>
  </si>
  <si>
    <t>Execution Type = Manual + Regression = Yes: kritik axındır, lakin texniki səbəbdən (SMS, real elan, şəxsi məlumat) avtomatlaşdırıla bilmir, hər relizdə manual icra olunur.</t>
  </si>
  <si>
    <t>Actual Result və Status sütunları icradan sonra doldurulur (başlanğıc status: Not Run).</t>
  </si>
  <si>
    <t>Sıralama testlərində VIP / Premium blokları nəzərə alınmır, yalnız "ELANLAR" siyahısı yoxlanılır.</t>
  </si>
  <si>
    <t>Layihə: turbo.az (https://turbo.az/autos) — Test Scope</t>
  </si>
  <si>
    <t>Yanaşma: risk əsaslı test. 2 həftəlik müddətdə saytın əsas biznes axını ("avtomobil tap → elanı aç → satıcı ilə əlaqə") dərindən, digər funksiyalar məhdud şəkildə test olunur.</t>
  </si>
  <si>
    <t>1. Scope-a daxil olanlar (In Scope)</t>
  </si>
  <si>
    <t>Nə yoxlanılır</t>
  </si>
  <si>
    <t>Test yanaşması</t>
  </si>
  <si>
    <t>Marka, model, şəhər, vəziyyət filtrləri, kombinasiyalar, URL, sıfırlama</t>
  </si>
  <si>
    <t>Manual + Automation</t>
  </si>
  <si>
    <t>Əsas biznes axını, regression-ın nüvəsi</t>
  </si>
  <si>
    <t>Qiymət və il filtrləri</t>
  </si>
  <si>
    <t>Aralıqlar, sərhəd dəyərləri, negativ daxiletmələr, valyuta</t>
  </si>
  <si>
    <t>Sərhəd və validasiya xətaları ən çox burada çıxır</t>
  </si>
  <si>
    <t>Yanacaq, ban, sürətlər qutusu, yürüş, mühərrik, güc, kredit/barter və s.</t>
  </si>
  <si>
    <t>Kartda görünən filtrlər avtomat, detal tələb edənlər manual</t>
  </si>
  <si>
    <t>Qiymət (artan/azalan), yürüş, il, tarix; filtrlə birlikdə</t>
  </si>
  <si>
    <t>VIP/Premium bloklar sıralamaya tabe deyil, yoxlamadan kənardır</t>
  </si>
  <si>
    <t>Səhifələr arası keçid, filtrin qorunması</t>
  </si>
  <si>
    <t>Kart-detal uyğunluğu, xüsusiyyətlər bloku, qalereya, nömrə, 404</t>
  </si>
  <si>
    <t>"Nömrəni göstər" etik səbəbdən yalnız manual</t>
  </si>
  <si>
    <t>Əlavə, silmə, sessiyada qalma</t>
  </si>
  <si>
    <t>AZ/RU keçidi, menyu və footer linkləri</t>
  </si>
  <si>
    <t>Telefon + SMS ilə giriş, validasiya, sessiya, çıxış</t>
  </si>
  <si>
    <t>Yalnız Manual</t>
  </si>
  <si>
    <t>SMS kodu avtomatlaşdırıla bilmir</t>
  </si>
  <si>
    <t>Forma, validasiya, şəkil yükləmə</t>
  </si>
  <si>
    <t>Forma heç vaxt düzgün data ilə göndərilmir</t>
  </si>
  <si>
    <t>Paketlərin və qiymətlərin göstərilməsi</t>
  </si>
  <si>
    <t>Ödəniş addımı icra edilmir</t>
  </si>
  <si>
    <t>Responsive (375/768px), zoom, klaviatura, cross-browser</t>
  </si>
  <si>
    <t>Vizual qiymətləndirmə</t>
  </si>
  <si>
    <t>2. Scope-dan kənar qalanlar (Out of Scope) — nəyi test etmədik və niyə</t>
  </si>
  <si>
    <t>Sahə</t>
  </si>
  <si>
    <t>Niyə test edilmədi</t>
  </si>
  <si>
    <t>Risk</t>
  </si>
  <si>
    <t>Gələcək üçün tövsiyə</t>
  </si>
  <si>
    <t>Moto, Ehtiyat hissələri, Mağazalar bölmələri</t>
  </si>
  <si>
    <t>Əsas axına (avtomobil alışı) aid deyil; axtarış/filtr məntiqi /autos bölməsi ilə eynidir</t>
  </si>
  <si>
    <t>Aşağı</t>
  </si>
  <si>
    <t>Eyni test dizaynı ilə genişləndirilə bilər</t>
  </si>
  <si>
    <t>Avtokataloq (dərindən)</t>
  </si>
  <si>
    <t>Məlumat xarakterli bölmədir; yalnız açılması yoxlanılıb (TC-NAV-007)</t>
  </si>
  <si>
    <t>Kataloq datasının düzgünlüyü ayrıca yoxlanıla bilər</t>
  </si>
  <si>
    <t>Biznes hesabı və diler paneli</t>
  </si>
  <si>
    <t>Real biznes (diler) hesabı tələb edir, test hesabı yoxdur</t>
  </si>
  <si>
    <t>Orta</t>
  </si>
  <si>
    <t>Operatordan test hesabı alındıqda əlavə edilməli</t>
  </si>
  <si>
    <t>Elan yerləşdirmənin tam axını (göndərmə, moderasiya)</t>
  </si>
  <si>
    <t>Canlı sistemdə real elan yaradır, moderatorlara və alıcılara təsir edir</t>
  </si>
  <si>
    <t>Yüksək</t>
  </si>
  <si>
    <t>Test (staging) mühitində icra edilməlidir</t>
  </si>
  <si>
    <t>Ödəniş əməliyyatları (VIP, Premium, İrəli çək)</t>
  </si>
  <si>
    <t>Real pul əməliyyatıdır</t>
  </si>
  <si>
    <t>Staging mühitində test kartları ilə</t>
  </si>
  <si>
    <t>"Şikayət et" formasının göndərilməsi</t>
  </si>
  <si>
    <t>Real elana saxta şikayət göndərilmiş olar</t>
  </si>
  <si>
    <t>Staging mühitində</t>
  </si>
  <si>
    <t>Mobil tətbiqlər (iOS/Android)</t>
  </si>
  <si>
    <t>Ayrı məhsuldur, ayrı alət (Appium) tələb edir</t>
  </si>
  <si>
    <t>Ayrı layihə kimi</t>
  </si>
  <si>
    <t>Performans / yük testi</t>
  </si>
  <si>
    <t>Canlı saytda yük yaratmaq etik və hüquqi baxımdan qəbuledilməzdir</t>
  </si>
  <si>
    <t>Staging mühitində JMeter/k6 ilə</t>
  </si>
  <si>
    <t>Təhlükəsizlik testi (penetration)</t>
  </si>
  <si>
    <t>Sahibinin icazəsi olmadan qanunsuzdur</t>
  </si>
  <si>
    <t>Rəsmi icazə ilə mütəxəssis tərəfindən</t>
  </si>
  <si>
    <t>Elan datasının düzgünlüyü (satıcının yazdığı məlumat)</t>
  </si>
  <si>
    <t>Elan sahibinin məsuliyyətidir, sistem funksionallığı deyil</t>
  </si>
  <si>
    <t>—</t>
  </si>
  <si>
    <t>Email/push bildirişləri, mesajlaşma</t>
  </si>
  <si>
    <t>Real hesab və qarşı tərəf tələb edir</t>
  </si>
  <si>
    <t>3. Fərziyyələr və məhdudiyyətlər</t>
  </si>
  <si>
    <t>• Testlər canlı (production) mühitdə aparılır; test datası dinamikdir, ona görə avtomat testlər konkret elana yox, qaydaya assert edir.</t>
  </si>
  <si>
    <t>• Test mühiti: Windows/macOS, Google Chrome (son versiya); cross-browser yoxlaması manual aparılır.</t>
  </si>
  <si>
    <t>• Avtomatlaşdırma müəllimin təqdim etdiyi arxitektura üzərində, dəyişiklik edilmədən yazılır.</t>
  </si>
  <si>
    <t>• Canlı sayta yük yaratmamaq üçün avtomat paket məhdud sayda işə salınır.</t>
  </si>
  <si>
    <t>Əlaqəli TC</t>
  </si>
  <si>
    <t>Ön şərt</t>
  </si>
  <si>
    <t>Addımlar</t>
  </si>
  <si>
    <t>Test data</t>
  </si>
  <si>
    <t>Gözlənilən nəticə</t>
  </si>
  <si>
    <t>Faktiki nəticə</t>
  </si>
  <si>
    <t>Təsir / qeyd</t>
  </si>
  <si>
    <t>Əlavələr</t>
  </si>
  <si>
    <t>UYG-001</t>
  </si>
  <si>
    <t>Əlavə filtrlər: "Vuruğu yoxdur" və "Yalnız qəzalı avtomobillər" eyni anda seçilə bilir; nəticədə vuruğu olan avtomobillər göstərilir (filtrlər bir-birinə uyğun işləmir)</t>
  </si>
  <si>
    <t>Əlavə filtrlər ("Daha çox filtr" → Vəziyyəti)</t>
  </si>
  <si>
    <t>Minor</t>
  </si>
  <si>
    <t>Production — https://turbo.az, Google Chrome (Windows 11), qonaq istifadəçi</t>
  </si>
  <si>
    <t>turbo.az ana səhifəsi açıqdır, "Daha çox filtr" bölməsi açılıb</t>
  </si>
  <si>
    <t>1. "Vuruğu yoxdur" seçimini işarələ
2. "Yalnız qəzalı avtomobillər" seçimini işarələ
3. "Elanları göstər" düyməsinə kliklə
4. Nəticədəki elanları aç və "Vəziyyəti" sahəsinə bax</t>
  </si>
  <si>
    <t>Vuruğu yoxdur: ✓ / Yalnız qəzalı avtomobillər: ✓</t>
  </si>
  <si>
    <t>Sistem ziddiyyətli seçimi idarə edir: bir seçim işarələnəndə digəri deaktiv olur (və ya avtomatik götürülür), ya da "elan tapılmadı" göstərilir</t>
  </si>
  <si>
    <t>Hər iki seçim eyni anda işarələnə bilir, xəbərdarlıq yoxdur. Nəticədə vuruğu olan, əzilmiş avtomobillər göstərilir — "Vuruğu yoxdur" filtri nəzərə alınmır</t>
  </si>
  <si>
    <t>turbo.az üçün yazılı tələb olmadığına görə bug kimi yox, uyğunsuzluq kimi qeyd edilib: iki ziddiyyətli filtr eyni anda seçilə bilir və "Vuruğu yoxdur" şərti nəzərə alınmır. İstifadəçi "Vuruğu yoxdur" seçdiyini görüb nəticələrə güvənə bilər. Məhsul komandası ilə dəqiqləşdirilməlidir</t>
  </si>
  <si>
    <t>New</t>
  </si>
  <si>
    <t>Uyğunsuzluq</t>
  </si>
  <si>
    <t>UYG-002</t>
  </si>
  <si>
    <t>Yeni elan: təsvir sahəsinə 3000 simvoldan uzun mətn yapışdırıldıqda artıq hissə xəbərdarlıq edilmədən silinir</t>
  </si>
  <si>
    <t>Yeni elan forması — Təsvir sahəsi</t>
  </si>
  <si>
    <t>Major</t>
  </si>
  <si>
    <t>Production — https://turbo.az, Google Chrome (Windows 11)</t>
  </si>
  <si>
    <t>"Yeni elan" forması açıqdır</t>
  </si>
  <si>
    <t>1. 5000 simvolluq mətni kopyala
2. Təsvir sahəsinə yapışdır (Ctrl+V)
3. Sahədəki mətnin uzunluğuna və sonuna bax</t>
  </si>
  <si>
    <t>Təsvir: 5000 simvol (copy-paste)</t>
  </si>
  <si>
    <t>İstifadəçi limit barədə xəbərdar edilir: simvol sayğacı göstərilir və ya "maksimum 3000 simvol" mesajı çıxır</t>
  </si>
  <si>
    <t>Sahə yalnız ilk 3000 simvolu qəbul edir, qalan 2000 simvol heç bir xəbərdarlıq, sayğac və ya mesaj olmadan silinir</t>
  </si>
  <si>
    <t>Görünməz data itkisi: istifadəçi mətnin sonunun kəsildiyini görməyə bilər və elan yarımçıq təsvirlə dərc olunar. Yazılı tələb olmadığına görə uyğunsuzluq kimi qeyd edilib</t>
  </si>
  <si>
    <t>UYG-003</t>
  </si>
  <si>
    <t>Qiymət filtri: onluq ayırıcı (nöqtə/vergül) qəbul edilmir, amma istifadəçiyə bu barədə məlumat verilmir</t>
  </si>
  <si>
    <t>Qiymət filtri (ana səhifə axtarış forması)</t>
  </si>
  <si>
    <t>turbo.az ana səhifəsi açıqdır</t>
  </si>
  <si>
    <t>1. "Qiymət, min." sahəsinə 10000.50 daxil et
2. Nöqtəni yazarkən sahənin ətrafına və altına bax
3. Eyni yoxlamanı vergüllə təkrarla: 10000,50
4. "Elanları göstər" düyməsinə kliklə</t>
  </si>
  <si>
    <t>Qiymət, min: 10000.50 və 10000,50</t>
  </si>
  <si>
    <t>İstifadəçi nöqtə (.) və ya vergül (,) daxil etməyə çalışdıqda simvol qəbul edilmir və sahənin altında qırmızı rəngli inline validasiya mesajı göstərilir, məsələn: "Qiymət yalnız tam ədəd ola bilər. Nöqtə və vergül istifadə etməyin." Mesaj istifadəçi düzgün dəyər daxil etdikdə avtomatik itir</t>
  </si>
  <si>
    <t>Nöqtə qəbul edilmir, qalan rəqəmlər birləşir: sahədə "1 000 050" görünür. Heç bir ipucu və ya mesaj yoxdur; axtarış 0 elan qaytarır</t>
  </si>
  <si>
    <t>Dəyər sahədə görünür, ona görə test keçib (TC-PRICE-012 PASS). Amma istifadəçi nöqtənin niyə yazılmadığını, dəyərin niyə 100 dəfə böyüdüyünü və nəticənin niyə boş olduğunu anlamaya bilər. Təkmilləşdirmə təklifi: yanlış simvol daxil edildikdə inline validasiya mesajı göstərmək</t>
  </si>
  <si>
    <t>AC Reference</t>
  </si>
  <si>
    <t>TC-API-101-001</t>
  </si>
  <si>
    <t>Etibarlı sorğu ilə alıcı yaradılması</t>
  </si>
  <si>
    <t>user1 ilə POST /auth/login edilib, token alınıb (base spec-də Authorization header)</t>
  </si>
  <si>
    <t>1. POST /beneficiaries göndər
2. Status, Location header və body-ni yoxla</t>
  </si>
  <si>
    <t>{"fullName":"Nigar Əliyeva","iban":"AZ77AIIB40060019440123456789","currency":"AZN","nickname":"Anam"}</t>
  </si>
  <si>
    <t>201 Created; Location = /beneficiaries/{id}; id ^ben_[a-z0-9]{8}$; iban, ibanMasked, currency, nickname, createdAt (ISO-8601) mövcuddur və göndərilən data ilə uyğundur; JSON schema-ya uyğundur</t>
  </si>
  <si>
    <t>Gözlənilən nəticə alındı: 201 Created; Location = /beneficiaries/{id}; id ^ben_[a-z0-9]{8}$; iban, ibanMasked, currency, nickname, createdAt (ISO-8601) mövcuddur və göndərilən data ilə uyğundur; JSON schema-ya uyğundur. Avtomat icra (Gauge + RestAssured, 02.10.2026), 3 icrada stabil</t>
  </si>
  <si>
    <t>GRAD-101 AC-1</t>
  </si>
  <si>
    <t>Deterministik API testi: sandbox hər login-də təmiz mühit verir. Status + body sahələri + code assert olunur; hər relizdə icra olunmalıdır</t>
  </si>
  <si>
    <t>TC-API-101-002</t>
  </si>
  <si>
    <t>IBAN-ın normallaşdırılması (boşluq + kiçik hərf)</t>
  </si>
  <si>
    <t>1. IBAN-ı boşluqlu və kiçik hərflə POST /beneficiaries göndər
2. Cavabdakı iban-a bax</t>
  </si>
  <si>
    <t>iban: "az77 aiib 4006 0019 4401 2345 6789"</t>
  </si>
  <si>
    <t>201; iban = "AZ77AIIB40060019440123456789" (boşluqsuz, böyük hərf); ibanMasked AZ77 ilə başlayır, son 4 rəqəm 6789</t>
  </si>
  <si>
    <t>Gözlənilən nəticə alındı: 201; iban = "AZ77AIIB40060019440123456789" (boşluqsuz, böyük hərf); ibanMasked AZ77 ilə başlayır, son 4 rəqəm 6789. Avtomat icra (Gauge + RestAssured, 02.10.2026), 3 icrada stabil</t>
  </si>
  <si>
    <t>GRAD-101 AC-2</t>
  </si>
  <si>
    <t>TC-API-101-003</t>
  </si>
  <si>
    <t>nickname göndərilmədikdə null qaytarılması</t>
  </si>
  <si>
    <t>1. nickname sahəsi olmadan POST /beneficiaries göndər</t>
  </si>
  <si>
    <t>nickname: (göndərilmir)</t>
  </si>
  <si>
    <t>201; body-də "nickname": null (sahə mövcuddur, dəyəri null)</t>
  </si>
  <si>
    <t>Gözlənilən nəticə alındı: 201; body-də "nickname": null (sahə mövcuddur, dəyəri null). Avtomat icra (Gauge + RestAssured, 02.10.2026), 3 icrada stabil</t>
  </si>
  <si>
    <t>GRAD-101 AC-3</t>
  </si>
  <si>
    <t>TC-API-101-004</t>
  </si>
  <si>
    <t>Bir neçə səhv sahə eyni anda göndərildikdə details-də hamısının göstərilməsi</t>
  </si>
  <si>
    <t>1. 3 sahəsi səhv olan POST /beneficiaries göndər
2. details massivini yoxla</t>
  </si>
  <si>
    <t>fullName: "A", iban: "XX00", currency: "GBP"</t>
  </si>
  <si>
    <t>400; code = VALIDATION_ERROR; details-də field = fullName, iban, currency üçün ayrıca {field, message} obyekti var (3 element)</t>
  </si>
  <si>
    <t>Gözlənilən nəticə alındı: 400; code = VALIDATION_ERROR; details-də field = fullName, iban, currency üçün ayrıca {field, message} obyekti var (3 element). Avtomat icra (Gauge + RestAssured, 02.10.2026), 3 icrada stabil</t>
  </si>
  <si>
    <t>GRAD-101 AC-4</t>
  </si>
  <si>
    <t>Validasiya qaydası — code (mətn yox) və details[].field assert olunur; ucuz, sürətli və stabildir</t>
  </si>
  <si>
    <t>TC-API-101-005</t>
  </si>
  <si>
    <t>fullName — 1 simvol (aşağı sərhəd − 1)</t>
  </si>
  <si>
    <t>1. POST /beneficiaries göndər</t>
  </si>
  <si>
    <t>fullName: "A"</t>
  </si>
  <si>
    <t>400 VALIDATION_ERROR; details[].field = "fullName"</t>
  </si>
  <si>
    <t>Gözlənilən nəticə alındı: 400 VALIDATION_ERROR; details[].field = "fullName". Avtomat icra (Gauge + RestAssured, 02.10.2026), 3 icrada stabil</t>
  </si>
  <si>
    <t>GRAD-101 AC-5</t>
  </si>
  <si>
    <t>Sərhəd dəyəri — TestNG DataProvider ilə data-driven avtomatlaşdırılır; sərhəd səhvləri (&lt; / ≤) regression-da tez-tez qırılır</t>
  </si>
  <si>
    <t>TC-API-101-006</t>
  </si>
  <si>
    <t>fullName — 2 simvol (aşağı sərhəd)</t>
  </si>
  <si>
    <t>fullName: "Al"</t>
  </si>
  <si>
    <t>201; fullName = "Al"</t>
  </si>
  <si>
    <t>Gözlənilən nəticə alındı: 201; fullName = "Al". Avtomat icra (Gauge + RestAssured, 02.10.2026), 3 icrada stabil</t>
  </si>
  <si>
    <t>TC-API-101-007</t>
  </si>
  <si>
    <t>fullName — 50 simvol (yuxarı sərhəd)</t>
  </si>
  <si>
    <t>fullName: 50 hərf</t>
  </si>
  <si>
    <t>201; fullName tam saxlanılıb (50 simvol)</t>
  </si>
  <si>
    <t>Gözlənilən nəticə alındı: 201; fullName tam saxlanılıb (50 simvol). Avtomat icra (Gauge + RestAssured, 02.10.2026), 3 icrada stabil</t>
  </si>
  <si>
    <t>TC-API-101-008</t>
  </si>
  <si>
    <t>fullName — 51 simvol (yuxarı sərhəd + 1)</t>
  </si>
  <si>
    <t>fullName: 51 hərf</t>
  </si>
  <si>
    <t>TC-API-101-009</t>
  </si>
  <si>
    <t>fullName hərflə başlamır ("---")</t>
  </si>
  <si>
    <t>fullName: "---"</t>
  </si>
  <si>
    <t>GRAD-101 AC-6</t>
  </si>
  <si>
    <t>TC-API-101-010</t>
  </si>
  <si>
    <t>fullName-də rəqəm var ("Ali2")</t>
  </si>
  <si>
    <t>fullName: "Ali2"</t>
  </si>
  <si>
    <t>TC-API-101-011</t>
  </si>
  <si>
    <t>fullName-də icazəli simvollar (Azərbaycan hərfləri, defis, apostrof, boşluq)</t>
  </si>
  <si>
    <t>fullName: "Şəhla Qasımova-O'Neil"</t>
  </si>
  <si>
    <t>201; fullName olduğu kimi saxlanılır</t>
  </si>
  <si>
    <t>Gözlənilən nəticə alındı: 201; fullName olduğu kimi saxlanılır. Avtomat icra (Gauge + RestAssured, 02.10.2026), 3 icrada stabil</t>
  </si>
  <si>
    <t>Pozitiv ekvivalent sinif: icazəli simvolların rədd edilməməsi yoxlanılır. Deterministik API testi: sandbox hər login-də təmiz mühit verir. Status + body sahələri + code assert olunur; hər relizdə icra olunmalıdır</t>
  </si>
  <si>
    <t>TC-API-101-012</t>
  </si>
  <si>
    <t>fullName trim-dən sonra uzunluq yoxlanılması</t>
  </si>
  <si>
    <t>fullName: "   A   " (trim-dən sonra 1 simvol)</t>
  </si>
  <si>
    <t>400 VALIDATION_ERROR; field = "fullName" (uzunluq trim-dən sonra hesablanır)</t>
  </si>
  <si>
    <t>Gözlənilən nəticə alındı: 400 VALIDATION_ERROR; field = "fullName" (uzunluq trim-dən sonra hesablanır). Avtomat icra (Gauge + RestAssured, 02.10.2026), 3 icrada stabil</t>
  </si>
  <si>
    <t>TC-API-101-013</t>
  </si>
  <si>
    <t>IBAN — 27 simvol (uzunluq − 1)</t>
  </si>
  <si>
    <t>iban: "AZ77AIIB4006001944012345678"</t>
  </si>
  <si>
    <t>400 VALIDATION_ERROR; field = "iban"</t>
  </si>
  <si>
    <t>Gözlənilən nəticə alındı: 400 VALIDATION_ERROR; field = "iban". Avtomat icra (Gauge + RestAssured, 02.10.2026), 3 icrada stabil</t>
  </si>
  <si>
    <t>GRAD-101 (description)</t>
  </si>
  <si>
    <t>TC-API-101-014</t>
  </si>
  <si>
    <t>IBAN — 29 simvol (uzunluq + 1)</t>
  </si>
  <si>
    <t>iban: "AZ77AIIB400600194401234567890"</t>
  </si>
  <si>
    <t>TC-API-101-015</t>
  </si>
  <si>
    <t>AZ olmayan ölkə kodu ilə IBAN</t>
  </si>
  <si>
    <t>iban: "GB77AIIB40060019440123456789"</t>
  </si>
  <si>
    <t>TC-API-101-016</t>
  </si>
  <si>
    <t>IBAN-da bank kodu hərf əvəzinə rəqəm</t>
  </si>
  <si>
    <t>iban: "AZ77123440060019440123456789"</t>
  </si>
  <si>
    <t>400 VALIDATION_ERROR; field = "iban" (AZ + 2 rəqəm + 4 HƏRF qaydası)</t>
  </si>
  <si>
    <t>Gözlənilən nəticə alındı: 400 VALIDATION_ERROR; field = "iban" (AZ + 2 rəqəm + 4 HƏRF qaydası). Avtomat icra (Gauge + RestAssured, 02.10.2026), 3 icrada stabil</t>
  </si>
  <si>
    <t>TC-API-101-017</t>
  </si>
  <si>
    <t>İcazəsiz valyuta</t>
  </si>
  <si>
    <t>currency: "GBP"</t>
  </si>
  <si>
    <t>400 VALIDATION_ERROR; field = "currency"</t>
  </si>
  <si>
    <t>Gözlənilən nəticə alındı: 400 VALIDATION_ERROR; field = "currency". Avtomat icra (Gauge + RestAssured, 02.10.2026), 3 icrada stabil</t>
  </si>
  <si>
    <t>TC-API-101-018</t>
  </si>
  <si>
    <t>nickname — 20 simvol (yuxarı sərhəd)</t>
  </si>
  <si>
    <t>nickname: 20 simvol</t>
  </si>
  <si>
    <t>201; nickname tam saxlanılıb</t>
  </si>
  <si>
    <t>Gözlənilən nəticə alındı: 201; nickname tam saxlanılıb. Avtomat icra (Gauge + RestAssured, 02.10.2026), 3 icrada stabil</t>
  </si>
  <si>
    <t>TC-API-101-019</t>
  </si>
  <si>
    <t>nickname — 21 simvol (yuxarı sərhəd + 1)</t>
  </si>
  <si>
    <t>nickname: 21 simvol</t>
  </si>
  <si>
    <t>400 VALIDATION_ERROR; field = "nickname"</t>
  </si>
  <si>
    <t>Gözlənilən nəticə alındı: 400 VALIDATION_ERROR; field = "nickname". Avtomat icra (Gauge + RestAssured, 02.10.2026), 3 icrada stabil</t>
  </si>
  <si>
    <t>TC-API-101-020</t>
  </si>
  <si>
    <t>nickname boş mətn ("")</t>
  </si>
  <si>
    <t>nickname: ""</t>
  </si>
  <si>
    <t>400 VALIDATION_ERROR (min 1 simvol) və ya null kimi qəbul — faktiki davranış qeydə alınır</t>
  </si>
  <si>
    <t>400 VALIDATION_ERROR; details: nickname — "Uzunluq 1–20 simvol olmalıdır". Boş mətn null kimi qəbul edilmir, validasiyadan keçmir. Manual icra (CallMan, 02.10.2026)</t>
  </si>
  <si>
    <t>Gözlənilən nəticə backlog-da müəyyən deyil (grooming sualı). Cavab alınana qədər manual icra olunur, davranış təsdiqlənəndən sonra avtomatlaşdırılır</t>
  </si>
  <si>
    <t>TC-API-101-021</t>
  </si>
  <si>
    <t>Eyni IBAN ikinci dəfə əlavə edilir</t>
  </si>
  <si>
    <t>1. POST /beneficiaries göndər (IBAN X)
2. Eyni IBAN ilə fərqli nickname göndər</t>
  </si>
  <si>
    <t>iban: AZ77AIIB40060019440123456789 (2 dəfə)</t>
  </si>
  <si>
    <t>2-ci sorğu: 409; code = BENEFICIARY_EXISTS</t>
  </si>
  <si>
    <t>Gözlənilən nəticə alındı: 2-ci sorğu: 409; code = BENEFICIARY_EXISTS. Avtomat icra (Gauge + RestAssured, 02.10.2026), 3 icrada stabil</t>
  </si>
  <si>
    <t>GRAD-101 AC-7</t>
  </si>
  <si>
    <t>TC-API-101-022</t>
  </si>
  <si>
    <t>Eyni IBAN fərqli formatda (boşluqlu/kiçik hərf) ikinci dəfə</t>
  </si>
  <si>
    <t>1. POST /beneficiaries göndər (normal IBAN)
2. Eyni IBAN-ı boşluqlu və kiçik hərflə göndər</t>
  </si>
  <si>
    <t>409 BENEFICIARY_EXISTS (müqayisə normallaşdırmadan SONRA aparılır)</t>
  </si>
  <si>
    <t>Gözlənilən nəticə alındı: 409 BENEFICIARY_EXISTS (müqayisə normallaşdırmadan SONRA aparılır). Avtomat icra (Gauge + RestAssured, 02.10.2026), 3 icrada stabil</t>
  </si>
  <si>
    <t>GRAD-101 AC-2, GRAD-101 AC-7</t>
  </si>
  <si>
    <t>Normallaşdırma ilə dublikat yoxlamasının inteqrasiyası — tipik gizli bug yeridir. Deterministik API testi: sandbox hər login-də təmiz mühit verir. Status + body sahələri + code assert olunur; hər relizdə icra olunmalıdır</t>
  </si>
  <si>
    <t>TC-API-101-023</t>
  </si>
  <si>
    <t>Lәqəb böyük-kiçik hərf fərqi ilə təkrarlanır</t>
  </si>
  <si>
    <t>1. nickname "anam" ilə POST /beneficiaries göndər
2. Fərqli IBAN və nickname "ANAM" ilə göndər</t>
  </si>
  <si>
    <t>nickname: "anam" → "ANAM"</t>
  </si>
  <si>
    <t>2-ci sorğu: 409; code = NICKNAME_TAKEN</t>
  </si>
  <si>
    <t>Gözlənilən nəticə alındı: 2-ci sorğu: 409; code = NICKNAME_TAKEN. Avtomat icra (Gauge + RestAssured, 02.10.2026), 3 icrada stabil</t>
  </si>
  <si>
    <t>GRAD-101 AC-8</t>
  </si>
  <si>
    <t>TC-API-101-024</t>
  </si>
  <si>
    <t>İstifadəçinin öz hesabının IBAN-ı</t>
  </si>
  <si>
    <t>iban: "AZ29NABZ00000000137010002855" (user1)</t>
  </si>
  <si>
    <t>422; code = OWN_ACCOUNT</t>
  </si>
  <si>
    <t>Gözlənilən nəticə alındı: 422; code = OWN_ACCOUNT. Avtomat icra (Gauge + RestAssured, 02.10.2026), 3 icrada stabil</t>
  </si>
  <si>
    <t>GRAD-101 AC-9</t>
  </si>
  <si>
    <t>TC-API-101-025</t>
  </si>
  <si>
    <t>Başqa istifadəçinin (admin) IBAN-ı alıcı kimi</t>
  </si>
  <si>
    <t>iban: "AZ21NABZ00000000137010001944" (admin)</t>
  </si>
  <si>
    <t>201 — başqasının hesabı OWN_ACCOUNT sayılmır</t>
  </si>
  <si>
    <t>Gözlənilən nəticə alındı: 201 — başqasının hesabı OWN_ACCOUNT sayılmır. Avtomat icra (Gauge + RestAssured, 02.10.2026), 3 icrada stabil</t>
  </si>
  <si>
    <t>OWN_ACCOUNT-un yalnız cari user-ə aid olduğunu təsdiqləyən pozitiv sinif. Deterministik API testi: sandbox hər login-də təmiz mühit verir. Status + body sahələri + code assert olunur; hər relizdə icra olunmalıdır</t>
  </si>
  <si>
    <t>TC-API-101-026</t>
  </si>
  <si>
    <t>10 alıcı olduqda 11-cinin əlavə edilməsi</t>
  </si>
  <si>
    <t>1. Fərqli IBAN-larla 10 alıcı yarat
2. 11-ci alıcını göndər</t>
  </si>
  <si>
    <t>10 unikal IBAN + 1</t>
  </si>
  <si>
    <t>10-cu: 201; 11-ci: 422; code = LIMIT_REACHED; body-də "limit": 10</t>
  </si>
  <si>
    <t>Gözlənilən nəticə alındı: 10-cu: 201; 11-ci: 422; code = LIMIT_REACHED; body-də "limit": 10. Avtomat icra (Gauge + RestAssured, 02.10.2026), 3 icrada stabil</t>
  </si>
  <si>
    <t>GRAD-101 AC-10</t>
  </si>
  <si>
    <t>TC-API-101-027</t>
  </si>
  <si>
    <t>Ardıcıllıq: öz IBAN-ı + səhv fullName</t>
  </si>
  <si>
    <t>Decision Table</t>
  </si>
  <si>
    <t>iban: user1 IBAN; fullName: "A"</t>
  </si>
  <si>
    <t>400 VALIDATION_ERROR (sahə validasiyası OWN_ACCOUNT-dan əvvəl yoxlanılır)</t>
  </si>
  <si>
    <t>Gözlənilən nəticə alındı: 400 VALIDATION_ERROR (sahə validasiyası OWN_ACCOUNT-dan əvvəl yoxlanılır). Avtomat icra (Gauge + RestAssured, 02.10.2026), 3 icrada stabil</t>
  </si>
  <si>
    <t>Decision table: yoxlama ardıcıllığını (hansı xəta əvvəl qaytarılır) təsdiqləyir; ardıcıllıq dəyişəndə müştəriyə yanlış xəta gedir</t>
  </si>
  <si>
    <t>TC-API-101-028</t>
  </si>
  <si>
    <t>Ardıcıllıq: dublikat IBAN + tutulmuş nickname</t>
  </si>
  <si>
    <t>1. Alıcı yarat (IBAN X, nickname "Anam")
2. Eyni IBAN X və "anam" ilə göndər</t>
  </si>
  <si>
    <t>IBAN X + "anam"</t>
  </si>
  <si>
    <t>409 BENEFICIARY_EXISTS (NICKNAME_TAKEN-dən əvvəl)</t>
  </si>
  <si>
    <t>Gözlənilən nəticə alındı: 409 BENEFICIARY_EXISTS (NICKNAME_TAKEN-dən əvvəl). Avtomat icra (Gauge + RestAssured, 02.10.2026), 3 icrada stabil</t>
  </si>
  <si>
    <t>TC-API-101-029</t>
  </si>
  <si>
    <t>Etibarsız JSON body</t>
  </si>
  <si>
    <t>1. Body-ni pozulmuş JSON kimi göndər</t>
  </si>
  <si>
    <t>{"fullName": "Nigar",</t>
  </si>
  <si>
    <t>400; code = INVALID_JSON</t>
  </si>
  <si>
    <t>Gözlənilən nəticə alındı: 400; code = INVALID_JSON. Avtomat icra (Gauge + RestAssured, 02.10.2026), 3 icrada stabil</t>
  </si>
  <si>
    <t>TC-API-101-030</t>
  </si>
  <si>
    <t>Sahə tipi səhvdir (fullName rəqəm)</t>
  </si>
  <si>
    <t>fullName: 12345 (number)</t>
  </si>
  <si>
    <t>400 VALIDATION_ERROR; field = "fullName"</t>
  </si>
  <si>
    <t>Gözlənilən nəticə alındı: 400 VALIDATION_ERROR; field = "fullName". Avtomat icra (Gauge + RestAssured, 02.10.2026), 3 icrada stabil</t>
  </si>
  <si>
    <t>TC-API-101-031</t>
  </si>
  <si>
    <t>Token olmadan alıcı yaradılması</t>
  </si>
  <si>
    <t>Security</t>
  </si>
  <si>
    <t>Token alınmayıb</t>
  </si>
  <si>
    <t>1. Authorization header-siz POST /beneficiaries göndər</t>
  </si>
  <si>
    <t>Authorization: yoxdur</t>
  </si>
  <si>
    <t>401</t>
  </si>
  <si>
    <t>Gözlənilən nəticə alındı: 401. Avtomat icra (Gauge + RestAssured, 02.10.2026), 3 icrada stabil</t>
  </si>
  <si>
    <t>Hər endpoint-in qorunması regression-da mütləq yoxlanmalıdır; token-siz sorğu ucuz və tam stabildir</t>
  </si>
  <si>
    <t>TC-API-102-001</t>
  </si>
  <si>
    <t>Parametrsiz siyahı</t>
  </si>
  <si>
    <t>user1 token alınıb; müxtəlif ad, valyuta və tarixli 5 alıcı yaradılıb (Nigar Əliyeva/AZN/"Anam", Çingiz/USD, Elvin/EUR, İlqar/AZN, Ülvi/USD)</t>
  </si>
  <si>
    <t>1. GET /beneficiaries göndər</t>
  </si>
  <si>
    <t>200; total = items.length = 5; birinci element ən son yaradılan alıcıdır (createdAt desc)</t>
  </si>
  <si>
    <t>Gözlənilən nəticə alındı: 200; total = items.length = 5; birinci element ən son yaradılan alıcıdır (createdAt desc). Avtomat icra (Gauge + RestAssured, 02.10.2026), 3 icrada stabil</t>
  </si>
  <si>
    <t>GRAD-102 AC-1</t>
  </si>
  <si>
    <t>TC-API-102-002</t>
  </si>
  <si>
    <t>Ad üzrə artan sıralama (Azərbaycan əlifbası)</t>
  </si>
  <si>
    <t>1. ?sort=fullName&amp;order=asc ilə GET /beneficiaries göndər</t>
  </si>
  <si>
    <t>sort=fullName&amp;order=asc</t>
  </si>
  <si>
    <t>200; sıra Azərbaycan əlifbası ilə: Çingiz, Elvin, İlqar, Nigar Əliyeva, Ülvi (Ç C-dən sonra, İ I-dan sonra, Ü U-dan sonra)</t>
  </si>
  <si>
    <t>Gözlənilən nəticə alındı: 200; sıra Azərbaycan əlifbası ilə: Çingiz, Elvin, İlqar, Nigar Əliyeva, Ülvi (Ç C-dən sonra, İ I-dan sonra, Ü U-dan sonra). Avtomat icra (Gauge + RestAssured, 02.10.2026), 3 icrada stabil</t>
  </si>
  <si>
    <t>GRAD-102 AC-2</t>
  </si>
  <si>
    <t>TC-API-102-003</t>
  </si>
  <si>
    <t>Ad üzrə azalan sıralama</t>
  </si>
  <si>
    <t>1. ?sort=fullName&amp;order=desc ilə GET /beneficiaries göndər</t>
  </si>
  <si>
    <t>sort=fullName&amp;order=desc</t>
  </si>
  <si>
    <t>200; AC-2-dəki sıranın tərsi</t>
  </si>
  <si>
    <t>Gözlənilən nəticə alındı: 200; AC-2-dəki sıranın tərsi. Avtomat icra (Gauge + RestAssured, 02.10.2026), 3 icrada stabil</t>
  </si>
  <si>
    <t>TC-API-102-004</t>
  </si>
  <si>
    <t>Yaradılma tarixi üzrə artan sıralama</t>
  </si>
  <si>
    <t>1. ?sort=createdAt&amp;order=asc ilə GET /beneficiaries göndər</t>
  </si>
  <si>
    <t>sort=createdAt&amp;order=asc</t>
  </si>
  <si>
    <t>200; ən köhnə alıcı birinci</t>
  </si>
  <si>
    <t>Gözlənilən nəticə alındı: 200; ən köhnə alıcı birinci. Avtomat icra (Gauge + RestAssured, 02.10.2026), 3 icrada stabil</t>
  </si>
  <si>
    <t>GRAD-102 (description)</t>
  </si>
  <si>
    <t>TC-API-102-005</t>
  </si>
  <si>
    <t>Valyuta filtri</t>
  </si>
  <si>
    <t>1. ?currency=USD ilə GET /beneficiaries göndər</t>
  </si>
  <si>
    <t>currency=USD</t>
  </si>
  <si>
    <t>200; bütün items[].currency = "USD"; total = 2 = items.length</t>
  </si>
  <si>
    <t>Gözlənilən nəticə alındı: 200; bütün items[].currency = "USD"; total = 2 = items.length. Avtomat icra (Gauge + RestAssured, 02.10.2026), 3 icrada stabil</t>
  </si>
  <si>
    <t>GRAD-102 AC-3</t>
  </si>
  <si>
    <t>TC-API-102-006</t>
  </si>
  <si>
    <t>Axtarış: İ/I fərqi nəzərə alınmır</t>
  </si>
  <si>
    <t>1. ?q=NİGAR ilə sorğu
2. ?q=NIGAR ilə sorğu</t>
  </si>
  <si>
    <t>q=NİGAR / q=NIGAR</t>
  </si>
  <si>
    <t>Hər iki halda 200; "Nigar Əliyeva" tapılır</t>
  </si>
  <si>
    <t>Gözlənilən nəticə alındı: Hər iki halda 200; "Nigar Əliyeva" tapılır. Avtomat icra (Gauge + RestAssured, 02.10.2026), 3 icrada stabil</t>
  </si>
  <si>
    <t>GRAD-102 AC-4</t>
  </si>
  <si>
    <t>TC-API-102-007</t>
  </si>
  <si>
    <t>Axtarış: böyük-kiçik hərf fərqi nəzərə alınmır</t>
  </si>
  <si>
    <t>1. ?q=nigar ilə GET /beneficiaries göndər</t>
  </si>
  <si>
    <t>q=nigar</t>
  </si>
  <si>
    <t>200; "Nigar Əliyeva" tapılır</t>
  </si>
  <si>
    <t>Gözlənilən nəticə alındı: 200; "Nigar Əliyeva" tapılır. Avtomat icra (Gauge + RestAssured, 02.10.2026), 3 icrada stabil</t>
  </si>
  <si>
    <t>TC-API-102-008</t>
  </si>
  <si>
    <t>Axtarış lәqəbin bir hissəsi ilə</t>
  </si>
  <si>
    <t>1. ?q=nam ilə GET /beneficiaries göndər</t>
  </si>
  <si>
    <t>q=nam</t>
  </si>
  <si>
    <t>200; nickname "Anam" olan alıcı tapılır</t>
  </si>
  <si>
    <t>Gözlənilən nəticə alındı: 200; nickname "Anam" olan alıcı tapılır. Avtomat icra (Gauge + RestAssured, 02.10.2026), 3 icrada stabil</t>
  </si>
  <si>
    <t>GRAD-102 AC-5</t>
  </si>
  <si>
    <t>TC-API-102-009</t>
  </si>
  <si>
    <t>Axtarış — 1 simvol (sərhəd − 1)</t>
  </si>
  <si>
    <t>1. ?q=a ilə GET /beneficiaries göndər</t>
  </si>
  <si>
    <t>q=a</t>
  </si>
  <si>
    <t>400 VALIDATION_ERROR; details[].field = "q"</t>
  </si>
  <si>
    <t>Gözlənilən nəticə alındı: 400 VALIDATION_ERROR; details[].field = "q". Avtomat icra (Gauge + RestAssured, 02.10.2026), 3 icrada stabil</t>
  </si>
  <si>
    <t>GRAD-102 AC-6</t>
  </si>
  <si>
    <t>TC-API-102-010</t>
  </si>
  <si>
    <t>Axtarış — 2 simvol (aşağı sərhəd)</t>
  </si>
  <si>
    <t>1. ?q=ni ilə GET /beneficiaries göndər</t>
  </si>
  <si>
    <t>q=ni</t>
  </si>
  <si>
    <t>200; nəticə qaytarılır</t>
  </si>
  <si>
    <t>Gözlənilən nəticə alındı: 200; nəticə qaytarılır. Avtomat icra (Gauge + RestAssured, 02.10.2026), 3 icrada stabil</t>
  </si>
  <si>
    <t>TC-API-102-011</t>
  </si>
  <si>
    <t>Nəticəsiz axtarış</t>
  </si>
  <si>
    <t>1. ?q=zzzz ilə GET /beneficiaries göndər</t>
  </si>
  <si>
    <t>q=zzzz</t>
  </si>
  <si>
    <t>200; "total": 0, "items": [] (xəta yoxdur)</t>
  </si>
  <si>
    <t>Gözlənilən nəticə alındı: 200; "total": 0, "items": [] (xəta yoxdur). Avtomat icra (Gauge + RestAssured, 02.10.2026), 3 icrada stabil</t>
  </si>
  <si>
    <t>GRAD-102 AC-7</t>
  </si>
  <si>
    <t>TC-API-102-012</t>
  </si>
  <si>
    <t>Parametrlərin birləşdirilməsi (AND)</t>
  </si>
  <si>
    <t>1. ?q=i&amp;currency=AZN&amp;sort=fullName&amp;order=asc — q 2+ simvol ilə təkrarla: ?q=li&amp;currency=AZN</t>
  </si>
  <si>
    <t>q=li&amp;currency=AZN</t>
  </si>
  <si>
    <t>200; yalnız həm "li" olan, həm də AZN alıcılar qaytarılır</t>
  </si>
  <si>
    <t>Gözlənilən nəticə alındı: 200; yalnız həm "li" olan, həm də AZN alıcılar qaytarılır. Avtomat icra (Gauge + RestAssured, 02.10.2026), 3 icrada stabil</t>
  </si>
  <si>
    <t>Task qeydi: parametrlər AND məntiqi ilə birləşir. Deterministik API testi: sandbox hər login-də təmiz mühit verir. Status + body sahələri + code assert olunur; hər relizdə icra olunmalıdır</t>
  </si>
  <si>
    <t>TC-API-102-013</t>
  </si>
  <si>
    <t>İcazəsiz currency / sort / order dəyərləri</t>
  </si>
  <si>
    <t>1. ?currency=GBP
2. ?sort=iban
3. ?order=up</t>
  </si>
  <si>
    <t>GBP / iban / up</t>
  </si>
  <si>
    <t>Hər biri: 400 VALIDATION_ERROR; field müvafiq olaraq currency / sort / order</t>
  </si>
  <si>
    <t>Gözlənilən nəticə alındı: Hər biri: 400 VALIDATION_ERROR; field müvafiq olaraq currency / sort / order. Avtomat icra (Gauge + RestAssured, 02.10.2026), 3 icrada stabil</t>
  </si>
  <si>
    <t>TC-API-102-014</t>
  </si>
  <si>
    <t>user2 user1-in alıcılarını görmür</t>
  </si>
  <si>
    <t>user1 və user2 ilə ayrı-ayrılıqda login edilib, hər ikisinin token-i var; user1 alıcı yaradıb</t>
  </si>
  <si>
    <t>1. user2 token-i ilə GET /beneficiaries göndər</t>
  </si>
  <si>
    <t>user2 token</t>
  </si>
  <si>
    <t>200; user1-in alıcısı items-də yoxdur</t>
  </si>
  <si>
    <t>Gözlənilən nəticə alındı: 200; user1-in alıcısı items-də yoxdur. Avtomat icra (Gauge + RestAssured, 02.10.2026), 3 icrada stabil</t>
  </si>
  <si>
    <t>Təhlükəsizlik: resurs izolyasiyası qırılarsa məlumat sızır. İki user token-i ilə stabil yoxlanılır</t>
  </si>
  <si>
    <t>TC-API-102-015</t>
  </si>
  <si>
    <t>Token olmadan siyahı</t>
  </si>
  <si>
    <t>1. Header-siz GET /beneficiaries göndər</t>
  </si>
  <si>
    <t>TC-API-103-001</t>
  </si>
  <si>
    <t>Mövcud alıcının silinməsi</t>
  </si>
  <si>
    <t>user1 token alınıb; POST /beneficiaries ilə alıcı yaradılıb, id yadda saxlanılıb</t>
  </si>
  <si>
    <t>1. DELETE /beneficiaries/{id}</t>
  </si>
  <si>
    <t>id: yaradılan ben_*</t>
  </si>
  <si>
    <t>204 No Content; body boşdur</t>
  </si>
  <si>
    <t>Gözlənilən nəticə alındı: 204 No Content; body boşdur. Avtomat icra (Gauge + RestAssured, 02.10.2026), 3 icrada stabil</t>
  </si>
  <si>
    <t>GRAD-103 AC-1</t>
  </si>
  <si>
    <t>TC-API-103-002</t>
  </si>
  <si>
    <t>Silinmiş alıcının siyahıda olmaması</t>
  </si>
  <si>
    <t>1. GET /beneficiaries → total yadda saxla
2. DELETE /beneficiaries/{id}
3. GET /beneficiaries</t>
  </si>
  <si>
    <t>id</t>
  </si>
  <si>
    <t>Silinmiş id items-də yoxdur; total 1 azalıb</t>
  </si>
  <si>
    <t>Gözlənilən nəticə alındı: Silinmiş id items-də yoxdur; total 1 azalıb. Avtomat icra (Gauge + RestAssured, 02.10.2026), 3 icrada stabil</t>
  </si>
  <si>
    <t>GRAD-103 AC-2</t>
  </si>
  <si>
    <t>TC-API-103-003</t>
  </si>
  <si>
    <t>Eyni alıcının ikinci dəfə silinməsi</t>
  </si>
  <si>
    <t>1. DELETE /beneficiaries/{id}
2. Eyni sorğunu təkrarla</t>
  </si>
  <si>
    <t>2-ci sorğu: 404; code = NOT_FOUND</t>
  </si>
  <si>
    <t>Gözlənilən nəticə alındı: 2-ci sorğu: 404; code = NOT_FOUND. Avtomat icra (Gauge + RestAssured, 02.10.2026), 3 icrada stabil</t>
  </si>
  <si>
    <t>GRAD-103 AC-3</t>
  </si>
  <si>
    <t>TC-API-103-004</t>
  </si>
  <si>
    <t>user2 user1-in alıcısını silməyə çalışır</t>
  </si>
  <si>
    <t>1. user2 token-i ilə DELETE /beneficiaries/{user1 id}
2. user1 token-i ilə GET /beneficiaries</t>
  </si>
  <si>
    <t>user1-in ben_* id-si</t>
  </si>
  <si>
    <t>404 NOT_FOUND (403 yox); user1-in alıcısı siyahıda qalır (silinməyib)</t>
  </si>
  <si>
    <t>Gözlənilən nəticə alındı: 404 NOT_FOUND (403 yox); user1-in alıcısı siyahıda qalır (silinməyib). Avtomat icra (Gauge + RestAssured, 02.10.2026), 3 icrada stabil</t>
  </si>
  <si>
    <t>GRAD-103 AC-4</t>
  </si>
  <si>
    <t>TC-API-103-005</t>
  </si>
  <si>
    <t>Mövcud olmayan id ilə silmə</t>
  </si>
  <si>
    <t>1. DELETE /beneficiaries/ben_zzzzzzzz</t>
  </si>
  <si>
    <t>ben_zzzzzzzz</t>
  </si>
  <si>
    <t>404 NOT_FOUND</t>
  </si>
  <si>
    <t>Gözlənilən nəticə alındı: 404 NOT_FOUND. Avtomat icra (Gauge + RestAssured, 02.10.2026), 3 icrada stabil</t>
  </si>
  <si>
    <t>GRAD-103 (description)</t>
  </si>
  <si>
    <t>TC-API-103-006</t>
  </si>
  <si>
    <t>Silinmiş alıcının IBAN-ının yenidən əlavə edilməsi</t>
  </si>
  <si>
    <t>1. Alıcını sil
2. Eyni IBAN ilə yenidən POST /beneficiaries</t>
  </si>
  <si>
    <t>Eyni IBAN</t>
  </si>
  <si>
    <t>201 gözlənilir (silinmiş alıcı dublikat sayılmamalıdır) — faktiki davranış qeydə alınır</t>
  </si>
  <si>
    <t>201 Created; silinmiş alıcının IBAN-ı ilə yeni alıcı yaradıldı (yeni id). Silinmiş alıcı dublikat sayılmır. Manual icra (CallMan, 02.10.2026)</t>
  </si>
  <si>
    <t>TC-API-103-007</t>
  </si>
  <si>
    <t>Token olmadan silmə</t>
  </si>
  <si>
    <t>1. Header-siz DELETE /beneficiaries/{id}</t>
  </si>
  <si>
    <t>TC-API-201-001</t>
  </si>
  <si>
    <t>Etibarlı sorğu ilə kart buraxılması</t>
  </si>
  <si>
    <t>1. POST /cards göndər
2. Status, Location və body-ni yoxla</t>
  </si>
  <si>
    <t>{"accountId":"acc_002","initialAmount":100,"label":"Kommunal"}</t>
  </si>
  <si>
    <t>201; Location = /cards/{id}; id ^vcd_; status ACTIVE; availableBalance = 100; limits.dailyOnline = 500, limits.perTransaction = 300; spentToday = 0; blockReason = null; blockedAt = null; currency = AZN; label = "Kommunal"; JSON schema uyğundur</t>
  </si>
  <si>
    <t>Gözlənilən nəticə alındı: 201; Location = /cards/{id}; id ^vcd_; status ACTIVE; availableBalance = 100; limits.dailyOnline = 500, limits.perTransaction = 300; spentToday = 0; blockReason = null; blockedAt = null; currency = AZN; label = "Kommunal"; JSON schema uyğundur. Avtomat icra (Gauge + RestAssured, 02.10.2026), 3 icrada stabil</t>
  </si>
  <si>
    <t>GRAD-201 AC-1</t>
  </si>
  <si>
    <t>TC-API-201-002</t>
  </si>
  <si>
    <t>maskedPan və expiry formatı</t>
  </si>
  <si>
    <t>1. POST /cards göndər
2. maskedPan və expiry-ni yoxla</t>
  </si>
  <si>
    <t>accountId acc_002, initialAmount 100</t>
  </si>
  <si>
    <t>maskedPan ^4169 73\*\* \*\*\*\* \d{4}$; expiry = MM/YY, bu gündən 3 il sonra (məs. 09/29)</t>
  </si>
  <si>
    <t>Gözlənilən nəticə alındı: maskedPan ^4169 73\*\* \*\*\*\* \d{4}$; expiry = MM/YY, bu gündən 3 il sonra (məs. 09/29). Avtomat icra (Gauge + RestAssured, 02.10.2026), 3 icrada stabil</t>
  </si>
  <si>
    <t>GRAD-201 AC-2</t>
  </si>
  <si>
    <t>TC-API-201-003</t>
  </si>
  <si>
    <t>initialAmount 0.99 (aşağı sərhəd − 0.01)</t>
  </si>
  <si>
    <t>1. POST /cards göndər</t>
  </si>
  <si>
    <t>initialAmount: 0.99</t>
  </si>
  <si>
    <t>400 VALIDATION_ERROR; field = "initialAmount"</t>
  </si>
  <si>
    <t>Gözlənilən nəticə alındı: 400 VALIDATION_ERROR; field = "initialAmount". Avtomat icra (Gauge + RestAssured, 02.10.2026), 3 icrada stabil</t>
  </si>
  <si>
    <t>GRAD-201 AC-3</t>
  </si>
  <si>
    <t>TC-API-201-004</t>
  </si>
  <si>
    <t>initialAmount 1.00 (aşağı sərhəd)</t>
  </si>
  <si>
    <t>initialAmount: 1.00</t>
  </si>
  <si>
    <t>201; availableBalance = 1</t>
  </si>
  <si>
    <t>Gözlənilən nəticə alındı: 201; availableBalance = 1. Avtomat icra (Gauge + RestAssured, 02.10.2026), 3 icrada stabil</t>
  </si>
  <si>
    <t>TC-API-201-005</t>
  </si>
  <si>
    <t>initialAmount 1000.00 (yuxarı sərhəd)</t>
  </si>
  <si>
    <t>initialAmount: 1000.00</t>
  </si>
  <si>
    <t>201; availableBalance = 1000</t>
  </si>
  <si>
    <t>Gözlənilən nəticə alındı: 201; availableBalance = 1000. Avtomat icra (Gauge + RestAssured, 02.10.2026), 3 icrada stabil</t>
  </si>
  <si>
    <t>TC-API-201-006</t>
  </si>
  <si>
    <t>initialAmount 1000.01 (yuxarı sərhəd + 0.01)</t>
  </si>
  <si>
    <t>initialAmount: 1000.01</t>
  </si>
  <si>
    <t>TC-API-201-007</t>
  </si>
  <si>
    <t>initialAmount mətn kimi ("50")</t>
  </si>
  <si>
    <t>initialAmount: "50"</t>
  </si>
  <si>
    <t>400 VALIDATION_ERROR</t>
  </si>
  <si>
    <t>Gözlənilən nəticə alındı: 400 VALIDATION_ERROR. Avtomat icra (Gauge + RestAssured, 02.10.2026), 3 icrada stabil</t>
  </si>
  <si>
    <t>GRAD-201 AC-4</t>
  </si>
  <si>
    <t>TC-API-201-008</t>
  </si>
  <si>
    <t>initialAmount 3 onluq (10.555)</t>
  </si>
  <si>
    <t>initialAmount: 10.555</t>
  </si>
  <si>
    <t>TC-API-201-009</t>
  </si>
  <si>
    <t>initialAmount 2 onluq (10.55)</t>
  </si>
  <si>
    <t>initialAmount: 10.55</t>
  </si>
  <si>
    <t>201; availableBalance = 10.55</t>
  </si>
  <si>
    <t>Gözlənilən nəticə alındı: 201; availableBalance = 10.55. Avtomat icra (Gauge + RestAssured, 02.10.2026), 3 icrada stabil</t>
  </si>
  <si>
    <t>TC-API-201-010</t>
  </si>
  <si>
    <t>initialAmount 0 və mənfi dəyər</t>
  </si>
  <si>
    <t>1. initialAmount 0 ilə göndər
2. initialAmount -5 ilə göndər</t>
  </si>
  <si>
    <t>0 / -5</t>
  </si>
  <si>
    <t>Hər ikisi: 400 VALIDATION_ERROR</t>
  </si>
  <si>
    <t>Gözlənilən nəticə alındı: Hər ikisi: 400 VALIDATION_ERROR. Avtomat icra (Gauge + RestAssured, 02.10.2026), 3 icrada stabil</t>
  </si>
  <si>
    <t>GRAD-201 (description)</t>
  </si>
  <si>
    <t>TC-API-201-011</t>
  </si>
  <si>
    <t>Başqa istifadəçinin hesabı ilə kart</t>
  </si>
  <si>
    <t>accountId: acc_003 (user2)</t>
  </si>
  <si>
    <t>403 FORBIDDEN (AC-5). QEYD: ümumi qayda başqasının resursu üçün 404 deyir — ziddiyyət grooming-də qaldırılıb</t>
  </si>
  <si>
    <t>403, code = FORBIDDEN (AC-5-ə uyğun). Qeyd: ümumi qayda 404 deyir — ziddiyyət sənəddədir, API AC-5-ə uyğun işləyir (grooming №1). Avtomat icra (Gauge + RestAssured, 02.10.2026), 3 icrada stabil</t>
  </si>
  <si>
    <t>GRAD-201 AC-5</t>
  </si>
  <si>
    <t>TC-API-201-012</t>
  </si>
  <si>
    <t>Mövcud olmayan hesab</t>
  </si>
  <si>
    <t>accountId: acc_999</t>
  </si>
  <si>
    <t>404; code = ACCOUNT_NOT_FOUND</t>
  </si>
  <si>
    <t>Gözlənilən nəticə alındı: 404; code = ACCOUNT_NOT_FOUND. Avtomat icra (Gauge + RestAssured, 02.10.2026), 3 icrada stabil</t>
  </si>
  <si>
    <t>TC-API-201-013</t>
  </si>
  <si>
    <t>user2 balansdan artıq məbləğ yükləyir</t>
  </si>
  <si>
    <t>user2 token alınıb</t>
  </si>
  <si>
    <t>accountId acc_003, initialAmount 891</t>
  </si>
  <si>
    <t>422; code = INSUFFICIENT_FUNDS</t>
  </si>
  <si>
    <t>Gözlənilən nəticə alındı: 422; code = INSUFFICIENT_FUNDS. Avtomat icra (Gauge + RestAssured, 02.10.2026), 3 icrada stabil</t>
  </si>
  <si>
    <t>GRAD-201 AC-6</t>
  </si>
  <si>
    <t>TC-API-201-014</t>
  </si>
  <si>
    <t>user2 balansa bərabər məbləğ yükləyir</t>
  </si>
  <si>
    <t>accountId acc_003, initialAmount 890.50</t>
  </si>
  <si>
    <t>201; currency = USD; availableBalance = 890.5</t>
  </si>
  <si>
    <t>Gözlənilən nəticə alındı: 201; currency = USD; availableBalance = 890.5. Avtomat icra (Gauge + RestAssured, 02.10.2026), 3 icrada stabil</t>
  </si>
  <si>
    <t>TC-API-201-015</t>
  </si>
  <si>
    <t>3 ACTIVE/FROZEN kart olduqda 4-cü kart</t>
  </si>
  <si>
    <t>1. 3 kart yarat (biri FROZEN edilsin)
2. 4-cü kartı yarat</t>
  </si>
  <si>
    <t>4 × initialAmount 10</t>
  </si>
  <si>
    <t>4-cü: 422; code = CARD_LIMIT_REACHED</t>
  </si>
  <si>
    <t>Gözlənilən nəticə alındı: 4-cü: 422; code = CARD_LIMIT_REACHED. Avtomat icra (Gauge + RestAssured, 02.10.2026), 3 icrada stabil</t>
  </si>
  <si>
    <t>GRAD-201 AC-7</t>
  </si>
  <si>
    <t>TC-API-201-016</t>
  </si>
  <si>
    <t>BLOCKED kart limitə sayılmır</t>
  </si>
  <si>
    <t>State Transition</t>
  </si>
  <si>
    <t>1. 3 kart yarat
2. Birini reason LOST ilə blokla
3. Yeni kart yarat</t>
  </si>
  <si>
    <t>3 kart, 1 BLOCKED</t>
  </si>
  <si>
    <t>201 — BLOCKED kart limitə daxil deyil</t>
  </si>
  <si>
    <t>Gözlənilən nəticə alındı: 201 — BLOCKED kart limitə daxil deyil. Avtomat icra (Gauge + RestAssured, 02.10.2026), 3 icrada stabil</t>
  </si>
  <si>
    <t>GRAD-201 AC-8</t>
  </si>
  <si>
    <t>TC-API-201-017</t>
  </si>
  <si>
    <t>label 30 simvol / 31 simvol</t>
  </si>
  <si>
    <t>1. label 30 simvol ilə göndər
2. label 31 simvol ilə göndər</t>
  </si>
  <si>
    <t>30 / 31 simvol</t>
  </si>
  <si>
    <t>30: 201; 31: 400 VALIDATION_ERROR, field = "label"</t>
  </si>
  <si>
    <t>Gözlənilən nəticə alındı: 30: 201; 31: 400 VALIDATION_ERROR, field = "label". Avtomat icra (Gauge + RestAssured, 02.10.2026), 3 icrada stabil</t>
  </si>
  <si>
    <t>TC-API-201-018</t>
  </si>
  <si>
    <t>label göndərilmədikdə null</t>
  </si>
  <si>
    <t>1. label olmadan POST /cards göndər</t>
  </si>
  <si>
    <t>label: (göndərilmir)</t>
  </si>
  <si>
    <t>201; "label": null</t>
  </si>
  <si>
    <t>Gözlənilən nəticə alındı: 201; "label": null. Avtomat icra (Gauge + RestAssured, 02.10.2026), 3 icrada stabil</t>
  </si>
  <si>
    <t>TC-API-201-019</t>
  </si>
  <si>
    <t>Kart yükləməsi əsas hesab balansını dəyişmir</t>
  </si>
  <si>
    <t>1. GET /me/accounts → balansı qeyd et
2. initialAmount 100 ilə kart yarat
3. GET /me/accounts</t>
  </si>
  <si>
    <t>initialAmount 100</t>
  </si>
  <si>
    <t>acc_002 balansı dəyişməyib (12 500) — sandbox qaydası</t>
  </si>
  <si>
    <t>Gözlənilən nəticə alındı: acc_002 balansı dəyişməyib (12 500) — sandbox qaydası. Avtomat icra (Gauge + RestAssured, 02.10.2026), 3 icrada stabil</t>
  </si>
  <si>
    <t>Task qeydində açıq yazılmış davranış. Deterministik API testi: sandbox hər login-də təmiz mühit verir. Status + body sahələri + code assert olunur; hər relizdə icra olunmalıdır</t>
  </si>
  <si>
    <t>TC-API-201-020</t>
  </si>
  <si>
    <t>Məcburi accountId göndərilmir</t>
  </si>
  <si>
    <t>1. accountId olmadan POST /cards göndər</t>
  </si>
  <si>
    <t>{"initialAmount":100}</t>
  </si>
  <si>
    <t>400 VALIDATION_ERROR; field = "accountId"</t>
  </si>
  <si>
    <t>Gözlənilən nəticə alındı: 400 VALIDATION_ERROR; field = "accountId". Avtomat icra (Gauge + RestAssured, 02.10.2026), 3 icrada stabil</t>
  </si>
  <si>
    <t>TC-API-201-021</t>
  </si>
  <si>
    <t>Token olmadan kart buraxılması</t>
  </si>
  <si>
    <t>1. Header-siz POST /cards göndər</t>
  </si>
  <si>
    <t>TC-API-202-001</t>
  </si>
  <si>
    <t>Yeni kartın məlumatları POST cavabı ilə eynidir</t>
  </si>
  <si>
    <t>user1 token alınıb; POST /cards ilə ACTIVE kart yaradılıb (accountId acc_002, initialAmount 1000)</t>
  </si>
  <si>
    <t>1. GET /cards/{id}</t>
  </si>
  <si>
    <t>kart id</t>
  </si>
  <si>
    <t>200; bütün sahələr POST /cards cavabı ilə eynidir</t>
  </si>
  <si>
    <t>Gözlənilən nəticə alındı: 200; bütün sahələr POST /cards cavabı ilə eynidir. Avtomat icra (Gauge + RestAssured, 02.10.2026), 3 icrada stabil</t>
  </si>
  <si>
    <t>GRAD-202 AC-1</t>
  </si>
  <si>
    <t>TC-API-202-002</t>
  </si>
  <si>
    <t>Ödənişdən sonra balans və spentToday yenilənir</t>
  </si>
  <si>
    <t>1. GET /cards/{id} → dəyərləri qeyd et
2. POST /bill-payments (citynet, 50 → total 50.50)
3. GET /cards/{id}</t>
  </si>
  <si>
    <t>amount 50, fee 0.50</t>
  </si>
  <si>
    <t>availableBalance 50.50 azalıb; spentToday 50.50 artıb</t>
  </si>
  <si>
    <t>Gözlənilən nəticə alındı: availableBalance 50.50 azalıb; spentToday 50.50 artıb. Avtomat icra (Gauge + RestAssured, 02.10.2026), 3 icrada stabil</t>
  </si>
  <si>
    <t>GRAD-202 AC-2</t>
  </si>
  <si>
    <t>TC-API-202-003</t>
  </si>
  <si>
    <t>Başqa istifadəçinin kartına baxış</t>
  </si>
  <si>
    <t>user1 və user2 ilə ayrı-ayrılıqda login edilib, hər ikisinin token-i var; user1 kart yaradıb</t>
  </si>
  <si>
    <t>1. user2 token-i ilə GET /cards/{user1 kart id}</t>
  </si>
  <si>
    <t>user1 vcd_* id</t>
  </si>
  <si>
    <t>404; code = NOT_FOUND</t>
  </si>
  <si>
    <t>Gözlənilən nəticə alındı: 404; code = NOT_FOUND. Avtomat icra (Gauge + RestAssured, 02.10.2026), 3 icrada stabil</t>
  </si>
  <si>
    <t>GRAD-202 AC-3</t>
  </si>
  <si>
    <t>TC-API-202-004</t>
  </si>
  <si>
    <t>Mövcud olmayan kart</t>
  </si>
  <si>
    <t>1. GET /cards/vcd_zzzzzzzz</t>
  </si>
  <si>
    <t>vcd_zzzzzzzz</t>
  </si>
  <si>
    <t>GRAD-202 (description)</t>
  </si>
  <si>
    <t>TC-API-202-005</t>
  </si>
  <si>
    <t>spentToday-in Bakı vaxtı ilə 00:00-da sıfırlanması</t>
  </si>
  <si>
    <t>user1 token alınıb; POST /cards ilə ACTIVE kart yaradılıb (accountId acc_002, initialAmount 1000); ödəniş edilib</t>
  </si>
  <si>
    <t>1. 23:55-də (Bakı) spentToday-i qeyd et
2. 00:05-də GET /cards/{id}</t>
  </si>
  <si>
    <t>spentToday = 0; availableBalance dəyişməyib</t>
  </si>
  <si>
    <t>23:55 (08.10): spentToday = 50.5. 00:03 (09.10, Bakı tarixi dəyişib): spentToday = 0, availableBalance = 949.5 (dəyişməyib). Gündəlik xərc Bakı vaxtı ilə 00:00-da sıfırlanır. Manual icra (CallMan, 08–09.10.2026)</t>
  </si>
  <si>
    <t>Gecə yarısını gözləmək tələb edir, avtomat testdə icra oluna bilmir. Qeyd: token 24 saat keçərlidir, test həmin sessiyada aparılmalıdır</t>
  </si>
  <si>
    <t>TC-API-202-006</t>
  </si>
  <si>
    <t>Token olmadan kart məlumatı</t>
  </si>
  <si>
    <t>1. Header-siz GET /cards/{id}</t>
  </si>
  <si>
    <t>TC-API-203-001</t>
  </si>
  <si>
    <t>ACTIVE → TEMPORARY → FROZEN</t>
  </si>
  <si>
    <t>1. POST /cards/{id}/block göndər</t>
  </si>
  <si>
    <t>{"reason":"TEMPORARY"}</t>
  </si>
  <si>
    <t>200; status FROZEN; blockReason TEMPORARY; blockedAt dolu (ISO-8601)</t>
  </si>
  <si>
    <t>Gözlənilən nəticə alındı: 200; status FROZEN; blockReason TEMPORARY; blockedAt dolu (ISO-8601). Avtomat icra (Gauge + RestAssured, 02.10.2026), 3 icrada stabil</t>
  </si>
  <si>
    <t>GRAD-203 AC-1</t>
  </si>
  <si>
    <t>State transition cədvəlinin xanasıdır (task qeydi: hər xana ayrı test case). Kart vəziyyəti test daxilində yaradılır → stabil</t>
  </si>
  <si>
    <t>TC-API-203-002</t>
  </si>
  <si>
    <t>ACTIVE → LOST → BLOCKED</t>
  </si>
  <si>
    <t>{"reason":"LOST"}</t>
  </si>
  <si>
    <t>200; status BLOCKED; blockReason LOST</t>
  </si>
  <si>
    <t>Gözlənilən nəticə alındı: 200; status BLOCKED; blockReason LOST. Avtomat icra (Gauge + RestAssured, 02.10.2026), 3 icrada stabil</t>
  </si>
  <si>
    <t>GRAD-203 AC-2</t>
  </si>
  <si>
    <t>TC-API-203-003</t>
  </si>
  <si>
    <t>ACTIVE → STOLEN → BLOCKED</t>
  </si>
  <si>
    <t>{"reason":"STOLEN"}</t>
  </si>
  <si>
    <t>200; status BLOCKED; blockReason STOLEN</t>
  </si>
  <si>
    <t>Gözlənilən nəticə alındı: 200; status BLOCKED; blockReason STOLEN. Avtomat icra (Gauge + RestAssured, 02.10.2026), 3 icrada stabil</t>
  </si>
  <si>
    <t>TC-API-203-004</t>
  </si>
  <si>
    <t>FROZEN → STOLEN → BLOCKED (eskalasiya)</t>
  </si>
  <si>
    <t>user1 token alınıb; POST /cards ilə ACTIVE kart yaradılıb (accountId acc_002, initialAmount 1000); kart TEMPORARY ilə FROZEN edilib</t>
  </si>
  <si>
    <t>200; status BLOCKED</t>
  </si>
  <si>
    <t>Gözlənilən nəticə alındı: 200; status BLOCKED. Avtomat icra (Gauge + RestAssured, 02.10.2026), 3 icrada stabil</t>
  </si>
  <si>
    <t>GRAD-203 AC-3</t>
  </si>
  <si>
    <t>TC-API-203-005</t>
  </si>
  <si>
    <t>FROZEN → LOST → BLOCKED</t>
  </si>
  <si>
    <t>TC-API-203-006</t>
  </si>
  <si>
    <t>FROZEN → TEMPORARY</t>
  </si>
  <si>
    <t>409; code = ALREADY_FROZEN</t>
  </si>
  <si>
    <t>Gözlənilən nəticə alındı: 409; code = ALREADY_FROZEN. Avtomat icra (Gauge + RestAssured, 02.10.2026), 3 icrada stabil</t>
  </si>
  <si>
    <t>GRAD-203 AC-4</t>
  </si>
  <si>
    <t>TC-API-203-007</t>
  </si>
  <si>
    <t>BLOCKED → TEMPORARY</t>
  </si>
  <si>
    <t>user1 token alınıb; POST /cards ilə ACTIVE kart yaradılıb (accountId acc_002, initialAmount 1000); kart LOST ilə BLOCKED edilib</t>
  </si>
  <si>
    <t>409; code = CARD_BLOCKED</t>
  </si>
  <si>
    <t>Gözlənilən nəticə alındı: 409; code = CARD_BLOCKED. Avtomat icra (Gauge + RestAssured, 02.10.2026), 3 icrada stabil</t>
  </si>
  <si>
    <t>GRAD-203 AC-5</t>
  </si>
  <si>
    <t>TC-API-203-008</t>
  </si>
  <si>
    <t>BLOCKED → LOST/STOLEN</t>
  </si>
  <si>
    <t>1. reason STOLEN ilə POST /cards/{id}/block göndər</t>
  </si>
  <si>
    <t>TC-API-203-009</t>
  </si>
  <si>
    <t>İcazəsiz reason dəyəri</t>
  </si>
  <si>
    <t>{"reason":"BROKEN"}</t>
  </si>
  <si>
    <t>400 VALIDATION_ERROR; field = "reason"</t>
  </si>
  <si>
    <t>Gözlənilən nəticə alındı: 400 VALIDATION_ERROR; field = "reason". Avtomat icra (Gauge + RestAssured, 02.10.2026), 3 icrada stabil</t>
  </si>
  <si>
    <t>GRAD-203 AC-6</t>
  </si>
  <si>
    <t>TC-API-203-010</t>
  </si>
  <si>
    <t>reason sahəsi yoxdur</t>
  </si>
  <si>
    <t>1. Boş obyektlə POST /cards/{id}/block göndər</t>
  </si>
  <si>
    <t>{}</t>
  </si>
  <si>
    <t>TC-API-203-011</t>
  </si>
  <si>
    <t>Body ümumiyyətlə göndərilmir</t>
  </si>
  <si>
    <t>1. Body-siz POST /cards/{id}/block göndər</t>
  </si>
  <si>
    <t>body: yoxdur</t>
  </si>
  <si>
    <t>GRAD-203 (description)</t>
  </si>
  <si>
    <t>TC-API-203-012</t>
  </si>
  <si>
    <t>1. POST /cards/vcd_zzzzzzzz/block</t>
  </si>
  <si>
    <t>TC-API-203-013</t>
  </si>
  <si>
    <t>Başqa istifadəçinin kartını bloklamaq</t>
  </si>
  <si>
    <t>1. user2 token-i ilə POST /cards/{user1 kart}/block
2. user1 ilə GET /cards/{id}</t>
  </si>
  <si>
    <t>404 NOT_FOUND; user1-in kartı ACTIVE qalır</t>
  </si>
  <si>
    <t>Gözlənilən nəticə alındı: 404 NOT_FOUND; user1-in kartı ACTIVE qalır. Avtomat icra (Gauge + RestAssured, 02.10.2026), 3 icrada stabil</t>
  </si>
  <si>
    <t>TC-API-203-014</t>
  </si>
  <si>
    <t>Ardıcıllıq: mövcud olmayan kart + səhv reason</t>
  </si>
  <si>
    <t>400 VALIDATION_ERROR (reason validasiyası NOT_FOUND-dan əvvəl)</t>
  </si>
  <si>
    <t>Gözlənilən nəticə alındı: 400 VALIDATION_ERROR (reason validasiyası NOT_FOUND-dan əvvəl). Avtomat icra (Gauge + RestAssured, 02.10.2026), 3 icrada stabil</t>
  </si>
  <si>
    <t>TC-API-203-015</t>
  </si>
  <si>
    <t>FROZEN kartla ödəniş</t>
  </si>
  <si>
    <t>1. Həmin kartla POST /bill-payments</t>
  </si>
  <si>
    <t>citynet, CN123456, 10</t>
  </si>
  <si>
    <t>422; code = CARD_NOT_ACTIVE</t>
  </si>
  <si>
    <t>Gözlənilən nəticə alındı: 422; code = CARD_NOT_ACTIVE. Avtomat icra (Gauge + RestAssured, 02.10.2026), 3 icrada stabil</t>
  </si>
  <si>
    <t>GRAD-203 AC-7</t>
  </si>
  <si>
    <t>TC-API-203-016</t>
  </si>
  <si>
    <t>BLOCKED kartla ödəniş</t>
  </si>
  <si>
    <t>TC-API-203-017</t>
  </si>
  <si>
    <t>FROZEN → BLOCKED keçidində blockReason və blockedAt</t>
  </si>
  <si>
    <t>1. reason STOLEN ilə POST /cards/{id}/block göndər
2. blockReason və blockedAt-ı əvvəlki dəyərlə müqayisə et</t>
  </si>
  <si>
    <t>blockReason = STOLEN və blockedAt yenilənmiş olmalıdır — faktiki davranış qeydə alınır</t>
  </si>
  <si>
    <t>200; status = BLOCKED, blockReason = STOLEN; blockedAt yeniləndi (FROZEN: 11:33:26.664Z → STOLEN: 11:33:27.113Z). Manual icra (CallMan, 02.10.2026)</t>
  </si>
  <si>
    <t>TC-API-203-018</t>
  </si>
  <si>
    <t>reason kiçik hərflə ("temporary")</t>
  </si>
  <si>
    <t>{"reason":"temporary"}</t>
  </si>
  <si>
    <t>400 VALIDATION_ERROR və ya qəbul — faktiki davranış qeydə alınır</t>
  </si>
  <si>
    <t>400 VALIDATION_ERROR; details: reason — "TEMPORARY, LOST və ya STOLEN olmalıdır". reason böyük-kiçik hərfə həssasdır. Manual icra (CallMan, 02.10.2026)</t>
  </si>
  <si>
    <t>TC-API-203-019</t>
  </si>
  <si>
    <t>Token olmadan bloklama</t>
  </si>
  <si>
    <t>1. Header-siz POST /cards/{id}/block göndər</t>
  </si>
  <si>
    <t>TC-API-204-001</t>
  </si>
  <si>
    <t>FROZEN kartın açılması</t>
  </si>
  <si>
    <t>1. POST /cards/{id}/unblock göndər (body-siz)</t>
  </si>
  <si>
    <t>200; status ACTIVE; blockReason = null; blockedAt = null</t>
  </si>
  <si>
    <t>Gözlənilən nəticə alındı: 200; status ACTIVE; blockReason = null; blockedAt = null. Avtomat icra (Gauge + RestAssured, 02.10.2026), 3 icrada stabil</t>
  </si>
  <si>
    <t>GRAD-204 AC-1</t>
  </si>
  <si>
    <t>TC-API-204-002</t>
  </si>
  <si>
    <t>ACTIVE kartın açılması</t>
  </si>
  <si>
    <t>409; code = NOT_FROZEN</t>
  </si>
  <si>
    <t>Gözlənilən nəticə alındı: 409; code = NOT_FROZEN. Avtomat icra (Gauge + RestAssured, 02.10.2026), 3 icrada stabil</t>
  </si>
  <si>
    <t>GRAD-204 AC-2</t>
  </si>
  <si>
    <t>TC-API-204-003</t>
  </si>
  <si>
    <t>BLOCKED kartın açılması</t>
  </si>
  <si>
    <t>409; code = PERMANENTLY_BLOCKED</t>
  </si>
  <si>
    <t>Gözlənilən nəticə alındı: 409; code = PERMANENTLY_BLOCKED. Avtomat icra (Gauge + RestAssured, 02.10.2026), 3 icrada stabil</t>
  </si>
  <si>
    <t>GRAD-204 AC-3</t>
  </si>
  <si>
    <t>TC-API-204-004</t>
  </si>
  <si>
    <t>Açılmış kartla ödəniş</t>
  </si>
  <si>
    <t>1. POST /cards/{id}/unblock göndər (body-siz)
2. POST /bill-payments</t>
  </si>
  <si>
    <t>201; status SUCCESS</t>
  </si>
  <si>
    <t>Gözlənilən nəticə alındı: 201; status SUCCESS. Avtomat icra (Gauge + RestAssured, 02.10.2026), 3 icrada stabil</t>
  </si>
  <si>
    <t>GRAD-204 AC-4</t>
  </si>
  <si>
    <t>TC-API-204-005</t>
  </si>
  <si>
    <t>Tam dövr: dondur → aç → yenidən dondur</t>
  </si>
  <si>
    <t>1. block TEMPORARY
2. unblock
3. block TEMPORARY</t>
  </si>
  <si>
    <t>Hər addım 200; son status FROZEN (kart dövrü təkrarlaya bilir)</t>
  </si>
  <si>
    <t>Gözlənilən nəticə alındı: Hər addım 200; son status FROZEN (kart dövrü təkrarlaya bilir). Avtomat icra (Gauge + RestAssured, 02.10.2026), 3 icrada stabil</t>
  </si>
  <si>
    <t>GRAD-204 (description)</t>
  </si>
  <si>
    <t>TC-API-204-006</t>
  </si>
  <si>
    <t>1. POST /cards/vcd_zzzzzzzz/unblock</t>
  </si>
  <si>
    <t>TC-API-204-007</t>
  </si>
  <si>
    <t>Başqa istifadəçinin kartını açmaq</t>
  </si>
  <si>
    <t>user1 və user2 ilə ayrı-ayrılıqda login edilib, hər ikisinin token-i var; user1 kartı FROZEN edib</t>
  </si>
  <si>
    <t>1. user2 token-i ilə unblock</t>
  </si>
  <si>
    <t>user1 kart id</t>
  </si>
  <si>
    <t>404 NOT_FOUND; user1-in kartı FROZEN qalır</t>
  </si>
  <si>
    <t>Gözlənilən nəticə alındı: 404 NOT_FOUND; user1-in kartı FROZEN qalır. Avtomat icra (Gauge + RestAssured, 02.10.2026), 3 icrada stabil</t>
  </si>
  <si>
    <t>TC-API-204-008</t>
  </si>
  <si>
    <t>Body göndərilməsi</t>
  </si>
  <si>
    <t>1. Body {"reason":"X"} ilə unblock</t>
  </si>
  <si>
    <t>{"reason":"X"}</t>
  </si>
  <si>
    <t>Body nəzərə alınmamalıdır (200) — faktiki davranış qeydə alınır</t>
  </si>
  <si>
    <t>200; status = ACTIVE, blockReason = null, blockedAt = null. Body nəzərə alınmadı. Manual icra (CallMan, 02.10.2026)</t>
  </si>
  <si>
    <t>TC-API-204-009</t>
  </si>
  <si>
    <t>Token olmadan açma</t>
  </si>
  <si>
    <t>1. Header-siz unblock</t>
  </si>
  <si>
    <t>TC-API-301-001</t>
  </si>
  <si>
    <t>Parametrsiz kataloq</t>
  </si>
  <si>
    <t>1. GET /billers</t>
  </si>
  <si>
    <t>200; total 6 = items.length; hər elementdə id, name, category, subscriberPattern, minAmount, maxAmount, fee var; JSON schema uyğundur</t>
  </si>
  <si>
    <t>Gözlənilən nəticə alındı: 200; total 6 = items.length; hər elementdə id, name, category, subscriberPattern, minAmount, maxAmount, fee var; JSON schema uyğundur. Avtomat icra (Gauge + RestAssured, 02.10.2026), 3 icrada stabil</t>
  </si>
  <si>
    <t>GRAD-301 AC-1</t>
  </si>
  <si>
    <t>TC-API-301-002</t>
  </si>
  <si>
    <t>MOBILE kateqoriyası</t>
  </si>
  <si>
    <t>1. GET /billers?category=MOBILE</t>
  </si>
  <si>
    <t>category=MOBILE</t>
  </si>
  <si>
    <t>200; yalnız azercell və bakcell (total 2)</t>
  </si>
  <si>
    <t>Gözlənilən nəticə alındı: 200; yalnız azercell və bakcell (total 2). Avtomat icra (Gauge + RestAssured, 02.10.2026), 3 icrada stabil</t>
  </si>
  <si>
    <t>GRAD-301 AC-2</t>
  </si>
  <si>
    <t>TC-API-301-003</t>
  </si>
  <si>
    <t>UTILITY və INTERNET kateqoriyaları</t>
  </si>
  <si>
    <t>1. ?category=UTILITY
2. ?category=INTERNET</t>
  </si>
  <si>
    <t>UTILITY / INTERNET</t>
  </si>
  <si>
    <t>UTILITY: azerisiq, azersu; INTERNET: citynet, aztelekom</t>
  </si>
  <si>
    <t>Gözlənilən nəticə alındı: UTILITY: azerisiq, azersu; INTERNET: citynet, aztelekom. Avtomat icra (Gauge + RestAssured, 02.10.2026), 3 icrada stabil</t>
  </si>
  <si>
    <t>TC-API-301-004</t>
  </si>
  <si>
    <t>İcazəsiz kateqoriya</t>
  </si>
  <si>
    <t>1. GET /billers?category=GAS</t>
  </si>
  <si>
    <t>category=GAS</t>
  </si>
  <si>
    <t>400 VALIDATION_ERROR; field = "category"</t>
  </si>
  <si>
    <t>Gözlənilən nəticə alındı: 400 VALIDATION_ERROR; field = "category". Avtomat icra (Gauge + RestAssured, 02.10.2026), 3 icrada stabil</t>
  </si>
  <si>
    <t>GRAD-301 AC-3</t>
  </si>
  <si>
    <t>TC-API-301-005</t>
  </si>
  <si>
    <t>Kateqoriya kiçik hərflə</t>
  </si>
  <si>
    <t>1. GET /billers?category=mobile</t>
  </si>
  <si>
    <t>category=mobile</t>
  </si>
  <si>
    <t>400 və ya qəbul — faktiki davranış qeydə alınır</t>
  </si>
  <si>
    <t>400 VALIDATION_ERROR; details: category — "UTILITY, MOBILE, INTERNET olmalıdır". category böyük-kiçik hərfə həssasdır. Manual icra (CallMan, 02.10.2026)</t>
  </si>
  <si>
    <t>GRAD-301 (description)</t>
  </si>
  <si>
    <t>TC-API-301-006</t>
  </si>
  <si>
    <t>Token olmadan kataloq</t>
  </si>
  <si>
    <t>1. Header-siz GET /billers</t>
  </si>
  <si>
    <t>TC-API-302-001</t>
  </si>
  <si>
    <t>Etibarlı ödəniş</t>
  </si>
  <si>
    <t>Highest</t>
  </si>
  <si>
    <t>1. POST /bill-payments göndər (Idempotency-Key: yeni UUID)</t>
  </si>
  <si>
    <t>{"cardId":"&lt;kart&gt;","billerId":"citynet","subscriberNo":"CN123456","amount":50}</t>
  </si>
  <si>
    <t>201; Location = /bill-payments/{id}; status SUCCESS; fee 0.5; total 50.5 = amount + fee; balanceAfter = 1000 − 50.5 = 949.5; currency AZN; biller.id = citynet</t>
  </si>
  <si>
    <t>Gözlənilən nəticə alındı: 201; Location = /bill-payments/{id}; status SUCCESS; fee 0.5; total 50.5 = amount + fee; balanceAfter = 1000 − 50.5 = 949.5; currency AZN; biller.id = citynet. Avtomat icra (Gauge + RestAssured, 02.10.2026), 3 icrada stabil</t>
  </si>
  <si>
    <t>GRAD-302 AC-1</t>
  </si>
  <si>
    <t>TC-API-302-002</t>
  </si>
  <si>
    <t>Ödənişdən sonra kart balansı</t>
  </si>
  <si>
    <t>1. POST /bill-payments göndər (Idempotency-Key: yeni UUID)
2. GET /cards/&lt;built-in function id&gt;</t>
  </si>
  <si>
    <t>availableBalance total qədər azalıb; spentToday total qədər artıb</t>
  </si>
  <si>
    <t>Gözlənilən nəticə alındı: availableBalance total qədər azalıb; spentToday total qədər artıb. Avtomat icra (Gauge + RestAssured, 02.10.2026), 3 icrada stabil</t>
  </si>
  <si>
    <t>GRAD-302 AC-2</t>
  </si>
  <si>
    <t>TC-API-302-003</t>
  </si>
  <si>
    <t>Qəbz nömrəsinin formatı və ardıcıllığı</t>
  </si>
  <si>
    <t>user1 token alınıb; POST /cards ilə ACTIVE kart yaradılıb (accountId acc_002, initialAmount 1000) (yeni sandbox, ödəniş yoxdur)</t>
  </si>
  <si>
    <t>1. 1-ci ödəniş
2. 2-ci ödəniş (yeni açar)</t>
  </si>
  <si>
    <t>1-ci receiptNo = RCP-YYYYMMDD-000001 (bu günün tarixi); 2-ci = ...-000002</t>
  </si>
  <si>
    <t>Gözlənilən nəticə alındı: 1-ci receiptNo = RCP-YYYYMMDD-000001 (bu günün tarixi); 2-ci = ...-000002. Avtomat icra (Gauge + RestAssured, 02.10.2026), 3 icrada stabil</t>
  </si>
  <si>
    <t>GRAD-302 AC-3</t>
  </si>
  <si>
    <t>TC-API-302-004</t>
  </si>
  <si>
    <t>Eyni açar + eyni body təkrar göndərilir</t>
  </si>
  <si>
    <t>1. Ödəniş et (açar K)
2. Eyni açar K və eyni body ilə təkrar et
3. GET /cards/{id}</t>
  </si>
  <si>
    <t>2-ci: 200 (201 yox); id 1-ci ilə eyni; header Idempotent-Replay: true; balans İKİNCİ DƏFƏ azalmayıb</t>
  </si>
  <si>
    <t>Gözlənilən nəticə alındı: 2-ci: 200 (201 yox); id 1-ci ilə eyni; header Idempotent-Replay: true; balans İKİNCİ DƏFƏ azalmayıb. Avtomat icra (Gauge + RestAssured, 02.10.2026), 3 icrada stabil</t>
  </si>
  <si>
    <t>GRAD-302 AC-4</t>
  </si>
  <si>
    <t>User story-nin əsas biznes qaydasıdır (pul iki dəfə çıxmamalıdır). Ən kritik regression testidir</t>
  </si>
  <si>
    <t>TC-API-302-005</t>
  </si>
  <si>
    <t>Eyni açar + fərqli məbləğ</t>
  </si>
  <si>
    <t>1. Ödəniş et (açar K, amount 50)
2. Açar K ilə amount 60 göndər</t>
  </si>
  <si>
    <t>K + amount 60</t>
  </si>
  <si>
    <t>409; code = IDEMPOTENCY_CONFLICT</t>
  </si>
  <si>
    <t>Gözlənilən nəticə alındı: 409; code = IDEMPOTENCY_CONFLICT. Avtomat icra (Gauge + RestAssured, 02.10.2026), 3 icrada stabil</t>
  </si>
  <si>
    <t>GRAD-302 AC-5</t>
  </si>
  <si>
    <t>TC-API-302-006</t>
  </si>
  <si>
    <t>Idempotency-Key header yoxdur</t>
  </si>
  <si>
    <t>1. Header-siz POST /bill-payments</t>
  </si>
  <si>
    <t>400; code = IDEMPOTENCY_KEY_REQUIRED</t>
  </si>
  <si>
    <t>Gözlənilən nəticə alındı: 400; code = IDEMPOTENCY_KEY_REQUIRED. Avtomat icra (Gauge + RestAssured, 02.10.2026), 3 icrada stabil</t>
  </si>
  <si>
    <t>GRAD-302 AC-6</t>
  </si>
  <si>
    <t>TC-API-302-007</t>
  </si>
  <si>
    <t>Idempotency-Key — 7 simvol</t>
  </si>
  <si>
    <t>Key: "abcdefg"</t>
  </si>
  <si>
    <t>400; code = IDEMPOTENCY_KEY_INVALID</t>
  </si>
  <si>
    <t>Gözlənilən nəticə alındı: 400; code = IDEMPOTENCY_KEY_INVALID. Avtomat icra (Gauge + RestAssured, 02.10.2026), 3 icrada stabil</t>
  </si>
  <si>
    <t>GRAD-302 (description)</t>
  </si>
  <si>
    <t>TC-API-302-008</t>
  </si>
  <si>
    <t>Idempotency-Key — 8 simvol</t>
  </si>
  <si>
    <t>Key: "abcdefgh"</t>
  </si>
  <si>
    <t>201</t>
  </si>
  <si>
    <t>Gözlənilən nəticə alındı: 201. Avtomat icra (Gauge + RestAssured, 02.10.2026), 3 icrada stabil</t>
  </si>
  <si>
    <t>TC-API-302-009</t>
  </si>
  <si>
    <t>Idempotency-Key — 64 simvol</t>
  </si>
  <si>
    <t>Key: 64 simvol</t>
  </si>
  <si>
    <t>TC-API-302-010</t>
  </si>
  <si>
    <t>Idempotency-Key — 65 simvol</t>
  </si>
  <si>
    <t>Key: 65 simvol</t>
  </si>
  <si>
    <t>TC-API-302-011</t>
  </si>
  <si>
    <t>Azercell-ə Bakcell nömrəsi</t>
  </si>
  <si>
    <t>billerId azercell, subscriberNo "551234567", amount 10</t>
  </si>
  <si>
    <t>422; code = INVALID_SUBSCRIBER; cavabda gözlənilən format (expected) göstərilir</t>
  </si>
  <si>
    <t>Gözlənilən nəticə alındı: 422; code = INVALID_SUBSCRIBER; cavabda gözlənilən format (expected) göstərilir. Avtomat icra (Gauge + RestAssured, 02.10.2026), 3 icrada stabil</t>
  </si>
  <si>
    <t>GRAD-302 AC-7</t>
  </si>
  <si>
    <t>TC-API-302-012</t>
  </si>
  <si>
    <t>CityNet formatına uyğun olmayan abunəçi</t>
  </si>
  <si>
    <t>billerId citynet, subscriberNo "CN12345" (5 rəqəm)</t>
  </si>
  <si>
    <t>422; code = INVALID_SUBSCRIBER</t>
  </si>
  <si>
    <t>Gözlənilən nəticə alındı: 422; code = INVALID_SUBSCRIBER. Avtomat icra (Gauge + RestAssured, 02.10.2026), 3 icrada stabil</t>
  </si>
  <si>
    <t>TC-API-302-013</t>
  </si>
  <si>
    <t>Azercell 0.49 (min − 0.01)</t>
  </si>
  <si>
    <t>azercell, 501234567, amount 0.49</t>
  </si>
  <si>
    <t>422; code = AMOUNT_OUT_OF_RANGE</t>
  </si>
  <si>
    <t>Gözlənilən nəticə alındı: 422; code = AMOUNT_OUT_OF_RANGE. Avtomat icra (Gauge + RestAssured, 02.10.2026), 3 icrada stabil</t>
  </si>
  <si>
    <t>GRAD-302 AC-8</t>
  </si>
  <si>
    <t>TC-API-302-014</t>
  </si>
  <si>
    <t>Azercell 0.50 (min)</t>
  </si>
  <si>
    <t>azercell, 501234567, amount 0.50</t>
  </si>
  <si>
    <t>TC-API-302-015</t>
  </si>
  <si>
    <t>Azercell 200.00 (max)</t>
  </si>
  <si>
    <t>azercell, 501234567, amount 200.00</t>
  </si>
  <si>
    <t>TC-API-302-016</t>
  </si>
  <si>
    <t>Azercell 200.01 (max + 0.01)</t>
  </si>
  <si>
    <t>azercell, 501234567, amount 200.01</t>
  </si>
  <si>
    <t>TC-API-302-017</t>
  </si>
  <si>
    <t>CityNet komissiyası (1%, min 0.20, max 2.00)</t>
  </si>
  <si>
    <t>1. Hər məbləğ üçün ayrıca ödəniş et (DataProvider)
2. fee və total-u yoxla</t>
  </si>
  <si>
    <t>amount: 5 / 20 / 21 / 150</t>
  </si>
  <si>
    <t>fee: 0.20 / 0.20 / 0.21 / 1.50; hər birində total = amount + fee</t>
  </si>
  <si>
    <t>Gözlənilən nəticə alındı: fee: 0.20 / 0.20 / 0.21 / 1.50; hər birində total = amount + fee. Avtomat icra (Gauge + RestAssured, 02.10.2026), 3 icrada stabil</t>
  </si>
  <si>
    <t>GRAD-302 AC-9</t>
  </si>
  <si>
    <t>TC-API-302-018</t>
  </si>
  <si>
    <t>Aztelekom sabit komissiyası</t>
  </si>
  <si>
    <t>1. 2 fərqli məbləğlə ödəniş et</t>
  </si>
  <si>
    <t>aztelekom, 7 rəqəmli nömrə, amount 10 / 100</t>
  </si>
  <si>
    <t>Hər ikisində fee = 0.50</t>
  </si>
  <si>
    <t>Gözlənilən nəticə alındı: Hər ikisində fee = 0.50. Avtomat icra (Gauge + RestAssured, 02.10.2026), 3 icrada stabil</t>
  </si>
  <si>
    <t>GRAD-302 AC-10</t>
  </si>
  <si>
    <t>TC-API-302-019</t>
  </si>
  <si>
    <t>total 300.01 (perTransaction limit + 0.01)</t>
  </si>
  <si>
    <t>user1 token alınıb; POST /cards ilə ACTIVE kart yaradılıb (accountId acc_002, initialAmount 1000); GET /billers ilə maxAmount ≥ 300 olan təchizatçı seçilib</t>
  </si>
  <si>
    <t>1. total = 300.01 olacaq amount ilə POST /bill-payments göndər (Idempotency-Key: yeni UUID)</t>
  </si>
  <si>
    <t>azerisiq (komissiya NONE, max 500), subscriberNo 1234567890, amount 300.01 → total 300.01; kart 1000 AZN</t>
  </si>
  <si>
    <t>422; code = PER_TRANSACTION_LIMIT</t>
  </si>
  <si>
    <t>422 PER_TRANSACTION_LIMIT; cavabda limit = 300, total = 300.01. Azərişıq (komissiya NONE, max 500) ilə yoxlanıldı. Manual icra (CallMan, 02.10.2026)</t>
  </si>
  <si>
    <t>GRAD-302 AC-11</t>
  </si>
  <si>
    <t>Hansı təchizatçı ilə total 300-ə çatılacağı və onun komissiya qaydası backlog-da göstərilməyib (grooming sualı). Cavab gələnə qədər manual icra olunur</t>
  </si>
  <si>
    <t>TC-API-302-020</t>
  </si>
  <si>
    <t>total 300.00 (perTransaction limit)</t>
  </si>
  <si>
    <t>1. total = 300.00 olacaq amount ilə POST /bill-payments göndər (Idempotency-Key: yeni UUID)</t>
  </si>
  <si>
    <t>azerisiq (komissiya NONE, max 500), subscriberNo 1234567890, amount 300.00 → total 300.00; kart 1000 AZN</t>
  </si>
  <si>
    <t>201; amount 300, fee 0, total 300, balanceAfter 700 (1000 AZN-lik kartdan). Sərhəd dəyəri qəbul edilir. Manual icra (CallMan, 02.10.2026)</t>
  </si>
  <si>
    <t>TC-API-302-021</t>
  </si>
  <si>
    <t>Gündəlik limit dolub (500)</t>
  </si>
  <si>
    <t>1. Cəmi total 500.00 edən ödənişlər et
2. 1 AZN-lik ödəniş et</t>
  </si>
  <si>
    <t>spentToday 500 + 1</t>
  </si>
  <si>
    <t>422; code = DAILY_LIMIT_EXCEEDED; "remaining": 0</t>
  </si>
  <si>
    <t>Gözlənilən nəticə alındı: 422; code = DAILY_LIMIT_EXCEEDED; "remaining": 0. Avtomat icra (Gauge + RestAssured, 02.10.2026), 3 icrada stabil</t>
  </si>
  <si>
    <t>GRAD-302 AC-12</t>
  </si>
  <si>
    <t>TC-API-302-022</t>
  </si>
  <si>
    <t>Balansdan 0.01 artıq ödəniş</t>
  </si>
  <si>
    <t>user1 token; kart availableBalance = 49.50 olacaq şəkildə hazırlanıb</t>
  </si>
  <si>
    <t>1. total = 49.51 ilə POST /bill-payments göndər (Idempotency-Key: yeni UUID)</t>
  </si>
  <si>
    <t>total 49.51</t>
  </si>
  <si>
    <t>GRAD-302 AC-13</t>
  </si>
  <si>
    <t>TC-API-302-023</t>
  </si>
  <si>
    <t>Balansa bərabər ödəniş</t>
  </si>
  <si>
    <t>user1 token; kart availableBalance = 49.50</t>
  </si>
  <si>
    <t>1. total = 49.50 ilə POST /bill-payments göndər (Idempotency-Key: yeni UUID)</t>
  </si>
  <si>
    <t>total 49.50</t>
  </si>
  <si>
    <t>201; balanceAfter = 0</t>
  </si>
  <si>
    <t>Gözlənilən nəticə alındı: 201; balanceAfter = 0. Avtomat icra (Gauge + RestAssured, 02.10.2026), 3 icrada stabil</t>
  </si>
  <si>
    <t>TC-API-302-024</t>
  </si>
  <si>
    <t>GRAD-302 AC-14</t>
  </si>
  <si>
    <t>TC-API-302-025</t>
  </si>
  <si>
    <t>USD kartla ödəniş</t>
  </si>
  <si>
    <t>user2 token; acc_003 ilə USD kart yaradılıb</t>
  </si>
  <si>
    <t>422; code = CURRENCY_NOT_SUPPORTED</t>
  </si>
  <si>
    <t>Gözlənilən nəticə alındı: 422; code = CURRENCY_NOT_SUPPORTED. Avtomat icra (Gauge + RestAssured, 02.10.2026), 3 icrada stabil</t>
  </si>
  <si>
    <t>TC-API-302-026</t>
  </si>
  <si>
    <t>amount mətn kimi ("10")</t>
  </si>
  <si>
    <t>amount: "10"</t>
  </si>
  <si>
    <t>400 VALIDATION_ERROR; field = "amount"</t>
  </si>
  <si>
    <t>Gözlənilən nəticə alındı: 400 VALIDATION_ERROR; field = "amount". Avtomat icra (Gauge + RestAssured, 02.10.2026), 3 icrada stabil</t>
  </si>
  <si>
    <t>GRAD-302 AC-15</t>
  </si>
  <si>
    <t>TC-API-302-027</t>
  </si>
  <si>
    <t>amount 3 onluq, 0 və mənfi</t>
  </si>
  <si>
    <t>1. amount 10.555
2. amount 0
3. amount -5</t>
  </si>
  <si>
    <t>10.555 / 0 / -5</t>
  </si>
  <si>
    <t>Hər biri: 400 VALIDATION_ERROR; field = "amount"</t>
  </si>
  <si>
    <t>Gözlənilən nəticə alındı: Hər biri: 400 VALIDATION_ERROR; field = "amount". Avtomat icra (Gauge + RestAssured, 02.10.2026), 3 icrada stabil</t>
  </si>
  <si>
    <t>TC-API-302-028</t>
  </si>
  <si>
    <t>Mövcud olmayan təchizatçı</t>
  </si>
  <si>
    <t>billerId: "unknown"</t>
  </si>
  <si>
    <t>404; code = BILLER_NOT_FOUND</t>
  </si>
  <si>
    <t>Gözlənilən nəticə alındı: 404; code = BILLER_NOT_FOUND. Avtomat icra (Gauge + RestAssured, 02.10.2026), 3 icrada stabil</t>
  </si>
  <si>
    <t>TC-API-302-029</t>
  </si>
  <si>
    <t>Başqa istifadəçinin kartı ilə ödəniş</t>
  </si>
  <si>
    <t>1. user2 token-i ilə user1-in cardId-si ilə ödəniş</t>
  </si>
  <si>
    <t>404; code = CARD_NOT_FOUND; user1 kartının balansı dəyişməyib</t>
  </si>
  <si>
    <t>Gözlənilən nəticə alındı: 404; code = CARD_NOT_FOUND; user1 kartının balansı dəyişməyib. Avtomat icra (Gauge + RestAssured, 02.10.2026), 3 icrada stabil</t>
  </si>
  <si>
    <t>TC-API-302-030</t>
  </si>
  <si>
    <t>Uğursuz sorğu açarı "istifadə etmir"</t>
  </si>
  <si>
    <t>1. Açar K ilə səhv abunəçi göndər (422)
2. Eyni açar K ilə düzəldilmiş sorğu göndər</t>
  </si>
  <si>
    <t>K; subscriberNo "CN12" → "CN123456"</t>
  </si>
  <si>
    <t>1-ci: 422 INVALID_SUBSCRIBER; 2-ci: 201 (409 IDEMPOTENCY_CONFLICT yox)</t>
  </si>
  <si>
    <t>Gözlənilən nəticə alındı: 1-ci: 422 INVALID_SUBSCRIBER; 2-ci: 201 (409 IDEMPOTENCY_CONFLICT yox). Avtomat icra (Gauge + RestAssured, 02.10.2026), 3 icrada stabil</t>
  </si>
  <si>
    <t>Task qeydində yazılmış qayda, gizli bug üçün yüksək riskli yerdir. Deterministik API testi: sandbox hər login-də təmiz mühit verir. Status + body sahələri + code assert olunur; hər relizdə icra olunmalıdır</t>
  </si>
  <si>
    <t>TC-API-302-031</t>
  </si>
  <si>
    <t>Ardıcıllıq: açar yoxdur + səhv body</t>
  </si>
  <si>
    <t>1. Açarsız və amount "abc" ilə göndər</t>
  </si>
  <si>
    <t>amount "abc", açar yoxdur</t>
  </si>
  <si>
    <t>400 IDEMPOTENCY_KEY_REQUIRED (açar JSON/sahə validasiyasından əvvəl)</t>
  </si>
  <si>
    <t>Gözlənilən nəticə alındı: 400 IDEMPOTENCY_KEY_REQUIRED (açar JSON/sahə validasiyasından əvvəl). Avtomat icra (Gauge + RestAssured, 02.10.2026), 3 icrada stabil</t>
  </si>
  <si>
    <t>TC-API-302-032</t>
  </si>
  <si>
    <t>Ardıcıllıq: səhv abunəçi + mövcud olmayan kart</t>
  </si>
  <si>
    <t>cardId vcd_zzzzzzzz, citynet, "CN1"</t>
  </si>
  <si>
    <t>422 INVALID_SUBSCRIBER (CARD_NOT_FOUND-dan əvvəl)</t>
  </si>
  <si>
    <t>Gözlənilən nəticə alındı: 422 INVALID_SUBSCRIBER (CARD_NOT_FOUND-dan əvvəl). Avtomat icra (Gauge + RestAssured, 02.10.2026), 3 icrada stabil</t>
  </si>
  <si>
    <t>TC-API-302-033</t>
  </si>
  <si>
    <t>Ardıcıllıq: FROZEN kart + balansdan böyük məbləğ</t>
  </si>
  <si>
    <t>user1 token; 10 AZN-lik kart yaradılıb və TEMPORARY ilə FROZEN edilib</t>
  </si>
  <si>
    <t>citynet, CN123456, amount 50 (balans 10)</t>
  </si>
  <si>
    <t>422 CARD_NOT_ACTIVE (INSUFFICIENT_FUNDS-dan əvvəl yoxlanılır)</t>
  </si>
  <si>
    <t>Gözlənilən nəticə alındı: 422 CARD_NOT_ACTIVE (INSUFFICIENT_FUNDS-dan əvvəl yoxlanılır). Avtomat icra (Gauge + RestAssured, 02.10.2026), 3 icrada stabil</t>
  </si>
  <si>
    <t>TC-API-302-034</t>
  </si>
  <si>
    <t>Komissiyanın yuvarlaqlaşdırılması (0.205)</t>
  </si>
  <si>
    <t>citynet, amount 20.50 → 1% = 0.205</t>
  </si>
  <si>
    <t>fee 2 onluğa yuvarlaqlaşdırılır (0.21 və ya 0.20) — yuvarlaqlaşdırma qaydası təsdiqlənənə qədər faktiki nəticə qeydə alınır</t>
  </si>
  <si>
    <t>201; amount 20.5, fee = 0.21, total = 20.71. 0.205 yuxarı yuvarlaqlaşdırılır (half-up). Manual icra (CallMan, 02.10.2026)</t>
  </si>
  <si>
    <t>TC-API-302-035</t>
  </si>
  <si>
    <t>Token olmadan ödəniş</t>
  </si>
  <si>
    <t>1. Header-siz POST /bill-payments göndər (Idempotency-Key: yeni UUID)</t>
  </si>
  <si>
    <t>401; balans dəyişmir</t>
  </si>
  <si>
    <t>Gözlənilən nəticə alındı: 401; balans dəyişmir. Avtomat icra (Gauge + RestAssured, 02.10.2026), 3 icrada stabil</t>
  </si>
  <si>
    <t>TC-API-303-001</t>
  </si>
  <si>
    <t>Parametrsiz tarixçə</t>
  </si>
  <si>
    <t>user1 yeni sandbox; kartla 2 ödəniş edilib (əvvəl citynet, sonra azercell)</t>
  </si>
  <si>
    <t>1. GET /bill-payments</t>
  </si>
  <si>
    <t>200; page 1; limit 10; total 2; birinci element ən son ödəniş (azercell); createdAt azalan sırada</t>
  </si>
  <si>
    <t>Gözlənilən nəticə alındı: 200; page 1; limit 10; total 2; birinci element ən son ödəniş (azercell); createdAt azalan sırada. Avtomat icra (Gauge + RestAssured, 02.10.2026), 3 icrada stabil</t>
  </si>
  <si>
    <t>GRAD-303 AC-1</t>
  </si>
  <si>
    <t>TC-API-303-002</t>
  </si>
  <si>
    <t>user1 yeni sandbox; 1000 AZN-lik kart yaradılıb və 18 ödəniş edilib (əvvəl citynet 12, sonra azercell 6)</t>
  </si>
  <si>
    <t>1. GET /bill-payments?page=2&amp;limit=10</t>
  </si>
  <si>
    <t>page=2</t>
  </si>
  <si>
    <t>200; items 8 element; total 18; totalPages 2</t>
  </si>
  <si>
    <t>Gözlənilən nəticə alındı: 200; items 8 element; total 18; totalPages 2. Avtomat icra (Gauge + RestAssured, 02.10.2026), 3 icrada stabil</t>
  </si>
  <si>
    <t>GRAD-303 AC-2</t>
  </si>
  <si>
    <t>TC-API-303-003</t>
  </si>
  <si>
    <t>Mövcud olmayan səhifə</t>
  </si>
  <si>
    <t>1. GET /bill-payments?page=3</t>
  </si>
  <si>
    <t>page=3</t>
  </si>
  <si>
    <t>200; items [] (xəta yoxdur)</t>
  </si>
  <si>
    <t>Gözlənilən nəticə alındı: 200; items [] (xəta yoxdur). Avtomat icra (Gauge + RestAssured, 02.10.2026), 3 icrada stabil</t>
  </si>
  <si>
    <t>GRAD-303 AC-3</t>
  </si>
  <si>
    <t>TC-API-303-004</t>
  </si>
  <si>
    <t>limit 0 və 51 (sərhəddən kənar)</t>
  </si>
  <si>
    <t>1. ?limit=0
2. ?limit=51</t>
  </si>
  <si>
    <t>limit 0 / 51</t>
  </si>
  <si>
    <t>Hər ikisi: 400 VALIDATION_ERROR; field = "limit"</t>
  </si>
  <si>
    <t>Gözlənilən nəticə alındı: Hər ikisi: 400 VALIDATION_ERROR; field = "limit". Avtomat icra (Gauge + RestAssured, 02.10.2026), 3 icrada stabil</t>
  </si>
  <si>
    <t>GRAD-303 AC-4</t>
  </si>
  <si>
    <t>TC-API-303-005</t>
  </si>
  <si>
    <t>limit 1 və 50 (sərhədlər)</t>
  </si>
  <si>
    <t>1. ?limit=1
2. ?limit=50</t>
  </si>
  <si>
    <t>limit 1 / 50</t>
  </si>
  <si>
    <t>200; limit=1 → 1 element; limit=50 → 18 element</t>
  </si>
  <si>
    <t>Gözlənilən nəticə alındı: 200; limit=1 → 1 element; limit=50 → 18 element. Avtomat icra (Gauge + RestAssured, 02.10.2026), 3 icrada stabil</t>
  </si>
  <si>
    <t>TC-API-303-006</t>
  </si>
  <si>
    <t>Səhv page dəyərləri</t>
  </si>
  <si>
    <t>1. ?page=0
2. ?page=-1
3. ?page=abc</t>
  </si>
  <si>
    <t>0 / -1 / abc</t>
  </si>
  <si>
    <t>Hər biri: 400 VALIDATION_ERROR; field = "page"</t>
  </si>
  <si>
    <t>Gözlənilən nəticə alındı: Hər biri: 400 VALIDATION_ERROR; field = "page". Avtomat icra (Gauge + RestAssured, 02.10.2026), 3 icrada stabil</t>
  </si>
  <si>
    <t>TC-API-303-007</t>
  </si>
  <si>
    <t>Mövcud olmayan tarix</t>
  </si>
  <si>
    <t>1. ?from=2026-13-01</t>
  </si>
  <si>
    <t>from=2026-13-01</t>
  </si>
  <si>
    <t>GRAD-303 AC-5</t>
  </si>
  <si>
    <t>TC-API-303-008</t>
  </si>
  <si>
    <t>from &gt; to</t>
  </si>
  <si>
    <t>1. ?from=2026-10-10&amp;to=2026-10-01</t>
  </si>
  <si>
    <t>GRAD-303 AC-6</t>
  </si>
  <si>
    <t>TC-API-303-009</t>
  </si>
  <si>
    <t>from = to = bu gün</t>
  </si>
  <si>
    <t>1. ?from=&lt;bu gün&gt;&amp;to=&lt;bu gün&gt;</t>
  </si>
  <si>
    <t>bu günün tarixi (Bakı); bu gün 2 ödəniş edilib</t>
  </si>
  <si>
    <t>200; bu günün bütün ödənişləri qaytarılır (total 2) — sərhəd daxil edilir</t>
  </si>
  <si>
    <t>Gözlənilən nəticə alındı: 200; bu günün bütün ödənişləri qaytarılır (total 2) — sərhəd daxil edilir. Avtomat icra (Gauge + RestAssured, 02.10.2026), 3 icrada stabil</t>
  </si>
  <si>
    <t>GRAD-303 AC-7</t>
  </si>
  <si>
    <t>TC-API-303-010</t>
  </si>
  <si>
    <t>Təchizatçı filtri</t>
  </si>
  <si>
    <t>1. ?billerId=citynet</t>
  </si>
  <si>
    <t>billerId=citynet</t>
  </si>
  <si>
    <t>200; bütün items[].billerId = citynet; total 12 (səhifədəki say yox, ümumi say)</t>
  </si>
  <si>
    <t>Gözlənilən nəticə alındı: 200; bütün items[].billerId = citynet; total 12 (səhifədəki say yox, ümumi say). Avtomat icra (Gauge + RestAssured, 02.10.2026), 3 icrada stabil</t>
  </si>
  <si>
    <t>GRAD-303 AC-8</t>
  </si>
  <si>
    <t>TC-API-303-011</t>
  </si>
  <si>
    <t>Kart filtri</t>
  </si>
  <si>
    <t>user1 yeni sandbox; 2 kart, hər biri ilə 1 ödəniş</t>
  </si>
  <si>
    <t>1. ?cardId=&lt;2-ci kart&gt;</t>
  </si>
  <si>
    <t>cardId</t>
  </si>
  <si>
    <t>200; yalnız həmin kartın ödənişi; total 1</t>
  </si>
  <si>
    <t>Gözlənilən nəticə alındı: 200; yalnız həmin kartın ödənişi; total 1. Avtomat icra (Gauge + RestAssured, 02.10.2026), 3 icrada stabil</t>
  </si>
  <si>
    <t>GRAD-303 (description)</t>
  </si>
  <si>
    <t>TC-API-303-012</t>
  </si>
  <si>
    <t>Filtrlərin birləşdirilməsi və səhifələmə</t>
  </si>
  <si>
    <t>1. ?billerId=citynet&amp;limit=5&amp;page=3</t>
  </si>
  <si>
    <t>citynet, limit 5, page 3</t>
  </si>
  <si>
    <t>200; items 2 element; total 12; totalPages 3</t>
  </si>
  <si>
    <t>Gözlənilən nəticə alındı: 200; items 2 element; total 12; totalPages 3. Avtomat icra (Gauge + RestAssured, 02.10.2026), 3 icrada stabil</t>
  </si>
  <si>
    <t>total-un filtrdən sonrakı ümumi say olduğunu (task qeydi) səhifələmə ilə birlikdə təsdiqləyir. Deterministik API testi: sandbox hər login-də təmiz mühit verir. Status + body sahələri + code assert olunur; hər relizdə icra olunmalıdır</t>
  </si>
  <si>
    <t>TC-API-303-013</t>
  </si>
  <si>
    <t>Bakı/UTC gün sərhədi</t>
  </si>
  <si>
    <t>user1 ilə POST /auth/login edilib, token alınıb (base spec-də Authorization header); ödəniş Bakı vaxtı ilə 00:00–04:00 arası edilib (UTC-də əvvəlki gün)</t>
  </si>
  <si>
    <t>1. ?from=&lt;Bakı tarixi&gt;&amp;to=&lt;Bakı tarixi&gt;</t>
  </si>
  <si>
    <t>Bakı vs UTC tarixi</t>
  </si>
  <si>
    <t>Ödəniş Bakı tarixi üzrə filtrdə görünür — faktiki davranış qeydə alınır</t>
  </si>
  <si>
    <t>00:03-də (Bakı 09.10, UTC hələ 08.10) edilən ödəniş from=to=2026-10-09 filtrində görünür, 2026-10-08 filtrində görünmür; 23:55-dəki ödəniş isə 2026-10-08 filtrindədir. Filtr Bakı tarixi ilə işləyir. Manual icra (CallMan, 08–09.10.2026)</t>
  </si>
  <si>
    <t>Konkret gecə saatında ödəniş tələb edir və grooming sualıdır; avtomatda stabil icra oluna bilmir</t>
  </si>
  <si>
    <t>TC-API-303-014</t>
  </si>
  <si>
    <t>Başqa istifadəçinin cardId-si ilə filtr</t>
  </si>
  <si>
    <t>user1 və user2 ilə ayrı-ayrılıqda login edilib, hər ikisinin token-i var</t>
  </si>
  <si>
    <t>1. user2 token-i ilə ?cardId=&lt;user1 kart&gt;</t>
  </si>
  <si>
    <t>user1 cardId</t>
  </si>
  <si>
    <t>200 boş siyahı və ya 404 — heç bir halda user1-in ödənişləri görünməməlidir</t>
  </si>
  <si>
    <t>200; total = 0, items = [] — user1-in ödənişləri user2-yə görünmür. Manual icra (CallMan, 02.10.2026)</t>
  </si>
  <si>
    <t>TC-API-303-015</t>
  </si>
  <si>
    <t>Token olmadan tarixçə</t>
  </si>
  <si>
    <t>1. Header-siz GET /bill-payments</t>
  </si>
  <si>
    <t>TC-API-GEN-001</t>
  </si>
  <si>
    <t>Saxta token</t>
  </si>
  <si>
    <t>1. Authorization: Bearer abc.def.ghi ilə GET /beneficiaries</t>
  </si>
  <si>
    <t>Ümumi qayda</t>
  </si>
  <si>
    <t>TC-API-GEN-002</t>
  </si>
  <si>
    <t>"Bearer" prefiksi olmayan token</t>
  </si>
  <si>
    <t>Etibarlı token var</t>
  </si>
  <si>
    <t>1. Authorization: &lt;token&gt; (Bearer-siz) ilə GET /beneficiaries</t>
  </si>
  <si>
    <t>Prefikssiz token</t>
  </si>
  <si>
    <t>TC-API-GEN-003</t>
  </si>
  <si>
    <t>Səhv şifrə ilə login</t>
  </si>
  <si>
    <t>1. POST /auth/login</t>
  </si>
  <si>
    <t>user1@test.com / Wrong1234</t>
  </si>
  <si>
    <t>401 (token qaytarılmır)</t>
  </si>
  <si>
    <t>Gözlənilən nəticə alındı: 401 (token qaytarılmır). Avtomat icra (Gauge + RestAssured, 02.10.2026), 3 icrada stabil</t>
  </si>
  <si>
    <t>TC-API-GEN-004</t>
  </si>
  <si>
    <t>Sandbox izolyasiyası: yeni login boş mühit açır</t>
  </si>
  <si>
    <t>user1 ilə POST /auth/login edilib, token alınıb (base spec-də Authorization header); alıcı yaradılıb</t>
  </si>
  <si>
    <t>1. Yenidən login et (yeni token)
2. Yeni token ilə GET /beneficiaries</t>
  </si>
  <si>
    <t>Yeni token</t>
  </si>
  <si>
    <t>200; total 0 — əvvəlki sessiyanın datası görünmür</t>
  </si>
  <si>
    <t>Gözlənilən nəticə alındı: 200; total 0 — əvvəlki sessiyanın datası görünmür. Avtomat icra (Gauge + RestAssured, 02.10.2026), 3 icrada stabil</t>
  </si>
  <si>
    <t>Sandbox qaydası avtomat testlərin dizaynını müəyyən edir (token @BeforeClass-da bir dəfə). Stabil və ucuzdur</t>
  </si>
  <si>
    <t>TC-API-GEN-005</t>
  </si>
  <si>
    <t>Rate limit (429 + Retry-After)</t>
  </si>
  <si>
    <t>1. Qısa müddətdə çoxlu sorğu göndər (CallMan Runner)</t>
  </si>
  <si>
    <t>Ardıcıl sorğular</t>
  </si>
  <si>
    <t>429; Retry-After header mövcuddur</t>
  </si>
  <si>
    <t>İcra olunmadı: 429 almaq üçün paylaşılan test serverinə yüksək yük göndərmək lazımdır (digər istifadəçilərin işinə mane ola bilər), limitin dəyəri də sənədləşdirilməyib. Ayrıca mühitdə və ya müəllimin icazəsi ilə icra edilməlidir</t>
  </si>
  <si>
    <t>Paylaşılan serverə yük yaradır və digər tələbələrin testlərinə təsir edə bilər; bir dəfə nəzarətli şəkildə manual icra olunur</t>
  </si>
  <si>
    <t>Epic</t>
  </si>
  <si>
    <t>Endpoint</t>
  </si>
  <si>
    <t>Story Point</t>
  </si>
  <si>
    <t>AC sayı</t>
  </si>
  <si>
    <t>EPIC-1</t>
  </si>
  <si>
    <t>POST /beneficiaries</t>
  </si>
  <si>
    <t>Yeni alıcı əlavə etmək</t>
  </si>
  <si>
    <t>GET /beneficiaries</t>
  </si>
  <si>
    <t>Alıcılar siyahısı — axtarış, filtr, sıralama</t>
  </si>
  <si>
    <t>DELETE /beneficiaries/{id}</t>
  </si>
  <si>
    <t>Alıcını silmək</t>
  </si>
  <si>
    <t>EPIC-2</t>
  </si>
  <si>
    <t>POST /cards</t>
  </si>
  <si>
    <t>Virtual kart buraxmaq</t>
  </si>
  <si>
    <t>GET /cards/{id}</t>
  </si>
  <si>
    <t>Kart məlumatına baxmaq</t>
  </si>
  <si>
    <t>POST /cards/{id}/block</t>
  </si>
  <si>
    <t>Kartı bloklamaq / dondurmaq</t>
  </si>
  <si>
    <t>POST /cards/{id}/unblock</t>
  </si>
  <si>
    <t>Dondurulmuş kartı açmaq</t>
  </si>
  <si>
    <t>EPIC-3</t>
  </si>
  <si>
    <t>GET /billers</t>
  </si>
  <si>
    <t>Xidmət təchizatçıları kataloqu</t>
  </si>
  <si>
    <t>POST /bill-payments</t>
  </si>
  <si>
    <t>Kommunal ödəniş etmək</t>
  </si>
  <si>
    <t>GET /bill-payments</t>
  </si>
  <si>
    <t>Ödəniş tarixçəsi — filtr və səhifələmə</t>
  </si>
  <si>
    <t>Auth, sandbox, rate limit</t>
  </si>
  <si>
    <t>Acceptance Criteria</t>
  </si>
  <si>
    <t>Test case-lər</t>
  </si>
  <si>
    <t>Avtomatlaşdırılıb?</t>
  </si>
  <si>
    <t>AC-1</t>
  </si>
  <si>
    <t>Bəli</t>
  </si>
  <si>
    <t>AC-2</t>
  </si>
  <si>
    <t>TC-API-101-002, TC-API-101-022</t>
  </si>
  <si>
    <t>AC-3</t>
  </si>
  <si>
    <t>AC-4</t>
  </si>
  <si>
    <t>AC-5</t>
  </si>
  <si>
    <t>TC-API-101-005, TC-API-101-006, TC-API-101-007, TC-API-101-008, TC-API-101-012</t>
  </si>
  <si>
    <t>AC-6</t>
  </si>
  <si>
    <t>TC-API-101-009, TC-API-101-010, TC-API-101-011</t>
  </si>
  <si>
    <t>AC-7</t>
  </si>
  <si>
    <t>TC-API-101-021, TC-API-101-022</t>
  </si>
  <si>
    <t>AC-8</t>
  </si>
  <si>
    <t>AC-9</t>
  </si>
  <si>
    <t>TC-API-101-024, TC-API-101-025</t>
  </si>
  <si>
    <t>AC-10</t>
  </si>
  <si>
    <t>TC-API-102-002, TC-API-102-003</t>
  </si>
  <si>
    <t>TC-API-102-006, TC-API-102-007</t>
  </si>
  <si>
    <t>TC-API-102-009, TC-API-102-010</t>
  </si>
  <si>
    <t>TC-API-201-003, TC-API-201-004, TC-API-201-005, TC-API-201-006</t>
  </si>
  <si>
    <t>TC-API-201-007, TC-API-201-008, TC-API-201-009</t>
  </si>
  <si>
    <t>TC-API-201-013, TC-API-201-014</t>
  </si>
  <si>
    <t>TC-API-203-002, TC-API-203-003</t>
  </si>
  <si>
    <t>TC-API-203-004, TC-API-203-005</t>
  </si>
  <si>
    <t>TC-API-203-007, TC-API-203-008</t>
  </si>
  <si>
    <t>TC-API-203-009, TC-API-203-010</t>
  </si>
  <si>
    <t>TC-API-203-015, TC-API-203-016</t>
  </si>
  <si>
    <t>TC-API-301-002, TC-API-301-003</t>
  </si>
  <si>
    <t>TC-API-302-011, TC-API-302-012</t>
  </si>
  <si>
    <t>TC-API-302-013, TC-API-302-014, TC-API-302-015, TC-API-302-016</t>
  </si>
  <si>
    <t>AC-11</t>
  </si>
  <si>
    <t>TC-API-302-019, TC-API-302-020</t>
  </si>
  <si>
    <t>Xeyr</t>
  </si>
  <si>
    <t>AC-12</t>
  </si>
  <si>
    <t>AC-13</t>
  </si>
  <si>
    <t>TC-API-302-022, TC-API-302-023</t>
  </si>
  <si>
    <t>AC-14</t>
  </si>
  <si>
    <t>TC-API-302-024, TC-API-302-025</t>
  </si>
  <si>
    <t>AC-15</t>
  </si>
  <si>
    <t>TC-API-303-004, TC-API-303-005, TC-API-303-006</t>
  </si>
  <si>
    <t>#</t>
  </si>
  <si>
    <t>Sual</t>
  </si>
  <si>
    <t>Əlaqəli test case</t>
  </si>
  <si>
    <t>Cavab / Müşahidə (icra nəticəsi)</t>
  </si>
  <si>
    <t>Ümumi qayda "başqa istifadəçinin resursu → 404 (403 yox)" deyir, AC-5 isə başqasının hesabı üçün 403 FORBIDDEN gözləyir. Hansı doğrudur?</t>
  </si>
  <si>
    <t>Yüksək — ziddiyyət</t>
  </si>
  <si>
    <t>API AC-5-ə uyğun işləyir: başqasının hesabı ilə kart buraxılışı 403 FORBIDDEN qaytarır (TC-API-201-011 PASS). Digər resurslarda (alıcı, kart, ödəniş) başqa istifadəçi üçün 404 qaytarılır. Sənəddəki ziddiyyət qalır, AC-5 ümumi qaydadan istisna kimi işləyir.</t>
  </si>
  <si>
    <t>IBAN yalnız format üzrə yoxlanılır, yoxsa checksum (mod-97) da yoxlanılır?</t>
  </si>
  <si>
    <t>TC-API-101-013…016</t>
  </si>
  <si>
    <t>Yalnız format yoxlanılır, checksum (mod-97) yoxlanılmır: eyni yoxlama rəqəmləri (AZ77) ilə fərqli hesab nömrəli 10 IBAN qəbul edildi (TC-API-101-026). Format xətaları (uzunluq, ölkə kodu, bank kodu) isə 400 qaytarır (TC-API-101-013…016).</t>
  </si>
  <si>
    <t>nickname: "" (boş mətn) göndərilsə 400 qaytarılır, yoxsa null kimi qəbul edilir?</t>
  </si>
  <si>
    <t>400 VALIDATION_ERROR, details: nickname — "Uzunluq 1–20 simvol olmalıdır". Boş mətn null kimi qəbul edilmir (TC-API-101-020).</t>
  </si>
  <si>
    <t>Silinmiş alıcının IBAN-ı yenidən əlavə oluna bilərmi?</t>
  </si>
  <si>
    <t>Bəli: silinmiş alıcının IBAN-ı ilə yeni alıcı yaradılır (201, yeni id). Silinmiş alıcı dublikat sayılmır (TC-API-103-006).</t>
  </si>
  <si>
    <t>sort=fullName göndərilib order göndərilmədikdə default desc tətbiq olunur (Z→A)?</t>
  </si>
  <si>
    <t>Açıq qalır: TC-API-102-003 sort=fullName&amp;order=desc ilə yoxlanılıb; order göndərilmədikdə default istiqamət test edilməyib.</t>
  </si>
  <si>
    <t>Sandbox-da hesab balansı azalmır. INSUFFICIENT_FUNDS hər kart üçün ayrıca, yoxsa kartların cəmi üzrə yoxlanılır?</t>
  </si>
  <si>
    <t>TC-API-201-013/014</t>
  </si>
  <si>
    <t>Kart yüklənməsi əsas hesab balansını azaltmır (TC-API-201-019: balans 12500 qalır). INSUFFICIENT_FUNDS hər kart sorğusunda hesab balansına qarşı yoxlanılır (TC-API-201-013/014); bir neçə kartın cəmi üzrə yoxlama ayrıca test edilməyib.</t>
  </si>
  <si>
    <t>FROZEN → BLOCKED keçidində blockReason və blockedAt yenilənir, yoxsa ilkin dəyər qalır?</t>
  </si>
  <si>
    <t>Yenilənir: FROZEN → STOLEN keçidində blockReason = STOLEN olur, blockedAt yeni vaxtla yenilənir (TC-API-203-017).</t>
  </si>
  <si>
    <t>reason dəyəri böyük-kiçik hərfə həssasdırmı ("temporary")?</t>
  </si>
  <si>
    <t>Bəli, həssasdır: "temporary" → 400 VALIDATION_ERROR ("TEMPORARY, LOST və ya STOLEN olmalıdır") (TC-API-203-018).</t>
  </si>
  <si>
    <t>Unblock sorğusunda body göndərilsə nə olur?</t>
  </si>
  <si>
    <t>Body nəzərə alınmır: 200, kart ACTIVE olur (TC-API-204-008).</t>
  </si>
  <si>
    <t>category kiçik hərflə ("mobile") qəbul olunurmu?</t>
  </si>
  <si>
    <t>Xeyr: "mobile" → 400 VALIDATION_ERROR ("UTILITY, MOBILE, INTERNET olmalıdır"). category böyük-kiçik hərfə həssasdır (TC-API-301-005).</t>
  </si>
  <si>
    <t>Komissiya yuvarlaqlaşdırma qaydası hansıdır (0.205 → 0.21 və ya 0.20)?</t>
  </si>
  <si>
    <t>Yuxarı yuvarlaqlaşdırılır (half-up): 20.50 AZN üçün komissiya 0.205 → 0.21, total 20.71 (TC-API-302-034).</t>
  </si>
  <si>
    <t>AC-11 (total 300.01) üçün hansı təchizatçı nəzərdə tutulub? CityNet max 150, Azercell max 200-dür</t>
  </si>
  <si>
    <t>TC-API-302-019/020</t>
  </si>
  <si>
    <t>Kataloqda maxAmount ≥ 300 olan təchizatçı: Azərişıq (max 500, komissiya NONE). 300.01 → 422 PER_TRANSACTION_LIMIT, 300.00 → 201 (TC-API-302-019/020).</t>
  </si>
  <si>
    <t>Idempotency-Key istifadəçiyə bağlıdırmı? user1 və user2 eyni açarı göndərsə nə olur?</t>
  </si>
  <si>
    <t>Açıq qalır: backlog-da göstərilməyib, test edilməyib. Cavab gəldikdən sonra test case əlavə olunmalıdır.</t>
  </si>
  <si>
    <t>createdAt UTC-dədir, from/to Bakı vaxtı ilə işləyir. UTC 21:30-da edilmiş ödəniş hansı günə aid sayılır?</t>
  </si>
  <si>
    <t>Filtr Bakı tarixi ilə işləyir: Bakı vaxtı 00:03-də (UTC ilə hələ əvvəlki gün) edilən ödəniş Bakı tarixinə aid sayılır (TC-API-303-013, 08–09.10.2026).</t>
  </si>
  <si>
    <t>Başqa istifadəçinin cardId-si ilə filtr: boş siyahı, yoxsa 404?</t>
  </si>
  <si>
    <t>Boş siyahı: 200, total = 0, items = [] — başqa istifadəçinin datası görünmür, 404 qaytarılmır (TC-API-303-014).</t>
  </si>
  <si>
    <t>12.10.2026, Gauge HTML hesabatı. API paketi ardıcıl 3 icrada stabil (161 ssenari, 0 düşən). Web paketi 29/29 keçdi</t>
  </si>
  <si>
    <t>12.10.2026: kolleksiyanın 75 avtomat yoxlaması keçdi (failures = []); manual müşahidələr Actual Result sütununa yazılıb</t>
  </si>
  <si>
    <t>İcra nəticələri, qrafiklər, modul/task bölgüsü, avtomat icraların stabilliyi, tapıntılar və nəticə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</si>
</sst>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i/>
      <sz val="11"/>
      <color rgb="FF595959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  <font>
      <b/>
      <sz val="20"/>
      <color rgb="FF1F4E78"/>
      <name val="Calibri"/>
      <charset val="1"/>
    </font>
    <font>
      <i/>
      <sz val="11"/>
      <color rgb="FF595959"/>
      <name val="Calibri"/>
      <charset val="1"/>
    </font>
    <font>
      <sz val="9"/>
      <color rgb="FF808080"/>
      <name val="Calibri"/>
      <charset val="1"/>
    </font>
    <font>
      <b/>
      <sz val="13"/>
      <color rgb="FF1F4E78"/>
      <name val="Calibri"/>
      <charset val="1"/>
    </font>
    <font>
      <b/>
      <sz val="11"/>
      <name val="Calibri"/>
      <charset val="1"/>
    </font>
    <font>
      <b/>
      <sz val="9"/>
      <color rgb="FF595959"/>
      <name val="Calibri"/>
      <charset val="1"/>
    </font>
    <font>
      <sz val="11"/>
      <color rgb="FF595959"/>
      <name val="Calibri"/>
      <charset val="1"/>
    </font>
    <font>
      <b/>
      <sz val="18"/>
      <color rgb="FF1F4E78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8"/>
      <color rgb="FFBFBFBF"/>
      <name val="Calibri"/>
      <charset val="1"/>
    </font>
    <font>
      <i/>
      <sz val="9"/>
      <color rgb="FF808080"/>
      <name val="Calibri"/>
      <charset val="1"/>
    </font>
    <font>
      <b/>
      <sz val="11"/>
      <color rgb="FF000000"/>
      <name val="Calibri"/>
      <charset val="1"/>
    </font>
    <font>
      <b/>
      <sz val="14"/>
      <name val="Calibri"/>
      <charset val="1"/>
    </font>
    <font>
      <i/>
      <sz val="11"/>
      <name val="Calibri"/>
      <charset val="1"/>
    </font>
    <font>
      <b/>
      <sz val="12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E2EFDA"/>
        <bgColor rgb="FFDDEBF7"/>
      </patternFill>
    </fill>
    <fill>
      <patternFill patternType="solid">
        <fgColor rgb="FFC00000"/>
        <bgColor rgb="FF800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5" fillId="0" borderId="0" xfId="0" applyFont="1" applyAlignment="1">
      <alignment vertical="top" wrapText="1"/>
    </xf>
    <xf numFmtId="0" fontId="15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0" fillId="0" borderId="2" xfId="0" applyBorder="1"/>
    <xf numFmtId="0" fontId="10" fillId="0" borderId="0" xfId="0" applyFont="1"/>
    <xf numFmtId="0" fontId="11" fillId="4" borderId="1" xfId="0" applyFont="1" applyFill="1" applyBorder="1" applyAlignment="1">
      <alignment horizontal="center" wrapText="1"/>
    </xf>
    <xf numFmtId="0" fontId="12" fillId="0" borderId="0" xfId="0" applyFont="1"/>
    <xf numFmtId="1" fontId="13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6" fillId="0" borderId="0" xfId="0" applyFont="1"/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5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9" borderId="3" xfId="0" applyFill="1" applyBorder="1" applyAlignment="1">
      <alignment horizontal="center" vertical="center" wrapText="1"/>
    </xf>
    <xf numFmtId="0" fontId="15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3B3B3"/>
      <rgbColor rgb="FFFFC7CE"/>
      <rgbColor rgb="FFCC99FF"/>
      <rgbColor rgb="FFF8CBAD"/>
      <rgbColor rgb="FF2E75B6"/>
      <rgbColor rgb="FF33CCCC"/>
      <rgbColor rgb="FF70AD47"/>
      <rgbColor rgb="FFFFC000"/>
      <rgbColor rgb="FFFF9900"/>
      <rgbColor rgb="FFFF6600"/>
      <rgbColor rgb="FF595959"/>
      <rgbColor rgb="FFA5A5A5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Nəticələr hissələr üzrə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'Test Report'!$D$12</c:f>
              <c:strCache>
                <c:ptCount val="1"/>
                <c:pt idx="0">
                  <c:v>PASS ✓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Report'!$B$13:$B$14</c:f>
              <c:strCache>
                <c:ptCount val="2"/>
                <c:pt idx="0">
                  <c:v>Web — turbo.az</c:v>
                </c:pt>
                <c:pt idx="1">
                  <c:v>API — GRAD-101…303</c:v>
                </c:pt>
              </c:strCache>
            </c:strRef>
          </c:cat>
          <c:val>
            <c:numRef>
              <c:f>'Test Report'!$D$13:$D$14</c:f>
              <c:numCache>
                <c:formatCode>General</c:formatCode>
                <c:ptCount val="2"/>
                <c:pt idx="0">
                  <c:v>126</c:v>
                </c:pt>
                <c:pt idx="1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5-48AA-B3CC-D913372BF1C8}"/>
            </c:ext>
          </c:extLst>
        </c:ser>
        <c:ser>
          <c:idx val="1"/>
          <c:order val="1"/>
          <c:tx>
            <c:strRef>
              <c:f>'Test Report'!$E$12</c:f>
              <c:strCache>
                <c:ptCount val="1"/>
                <c:pt idx="0">
                  <c:v>FAIL ✗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Report'!$B$13:$B$14</c:f>
              <c:strCache>
                <c:ptCount val="2"/>
                <c:pt idx="0">
                  <c:v>Web — turbo.az</c:v>
                </c:pt>
                <c:pt idx="1">
                  <c:v>API — GRAD-101…303</c:v>
                </c:pt>
              </c:strCache>
            </c:strRef>
          </c:cat>
          <c:val>
            <c:numRef>
              <c:f>'Test Report'!$E$13:$E$14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5-48AA-B3CC-D913372BF1C8}"/>
            </c:ext>
          </c:extLst>
        </c:ser>
        <c:ser>
          <c:idx val="2"/>
          <c:order val="2"/>
          <c:tx>
            <c:strRef>
              <c:f>'Test Report'!$F$12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Report'!$B$13:$B$14</c:f>
              <c:strCache>
                <c:ptCount val="2"/>
                <c:pt idx="0">
                  <c:v>Web — turbo.az</c:v>
                </c:pt>
                <c:pt idx="1">
                  <c:v>API — GRAD-101…303</c:v>
                </c:pt>
              </c:strCache>
            </c:strRef>
          </c:cat>
          <c:val>
            <c:numRef>
              <c:f>'Test Report'!$F$13:$F$14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5-48AA-B3CC-D913372B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43215"/>
        <c:axId val="75584958"/>
      </c:barChart>
      <c:catAx>
        <c:axId val="3834321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84958"/>
        <c:crosses val="autoZero"/>
        <c:auto val="1"/>
        <c:lblAlgn val="ctr"/>
        <c:lblOffset val="100"/>
        <c:noMultiLvlLbl val="0"/>
      </c:catAx>
      <c:valAx>
        <c:axId val="7558495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Test case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432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Avtomat / Manual (cəmi)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D89-4847-A7B0-45BBE83D527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D89-4847-A7B0-45BBE83D52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D89-4847-A7B0-45BBE83D52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D89-4847-A7B0-45BBE83D52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Report'!$M$13:$M$14</c:f>
              <c:strCache>
                <c:ptCount val="2"/>
                <c:pt idx="0">
                  <c:v>Avtomat</c:v>
                </c:pt>
                <c:pt idx="1">
                  <c:v>Manual</c:v>
                </c:pt>
              </c:strCache>
            </c:strRef>
          </c:cat>
          <c:val>
            <c:numRef>
              <c:f>'Test Report'!$N$13:$N$14</c:f>
              <c:numCache>
                <c:formatCode>General</c:formatCode>
                <c:ptCount val="2"/>
                <c:pt idx="0">
                  <c:v>185</c:v>
                </c:pt>
                <c:pt idx="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89-4847-A7B0-45BBE83D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API test case-ləri: avtomat / manual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'Test Report'!$D$52</c:f>
              <c:strCache>
                <c:ptCount val="1"/>
                <c:pt idx="0">
                  <c:v>Avtomat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Report'!$M$53:$M$63</c:f>
              <c:strCache>
                <c:ptCount val="11"/>
                <c:pt idx="0">
                  <c:v>GRAD-101</c:v>
                </c:pt>
                <c:pt idx="1">
                  <c:v>GRAD-102</c:v>
                </c:pt>
                <c:pt idx="2">
                  <c:v>GRAD-103</c:v>
                </c:pt>
                <c:pt idx="3">
                  <c:v>GRAD-201</c:v>
                </c:pt>
                <c:pt idx="4">
                  <c:v>GRAD-202</c:v>
                </c:pt>
                <c:pt idx="5">
                  <c:v>GRAD-203</c:v>
                </c:pt>
                <c:pt idx="6">
                  <c:v>GRAD-204</c:v>
                </c:pt>
                <c:pt idx="7">
                  <c:v>GRAD-301</c:v>
                </c:pt>
                <c:pt idx="8">
                  <c:v>GRAD-302</c:v>
                </c:pt>
                <c:pt idx="9">
                  <c:v>GRAD-303</c:v>
                </c:pt>
                <c:pt idx="10">
                  <c:v>Ümumi</c:v>
                </c:pt>
              </c:strCache>
            </c:strRef>
          </c:cat>
          <c:val>
            <c:numRef>
              <c:f>'Test Report'!$D$53:$D$63</c:f>
              <c:numCache>
                <c:formatCode>General</c:formatCode>
                <c:ptCount val="11"/>
                <c:pt idx="0">
                  <c:v>30</c:v>
                </c:pt>
                <c:pt idx="1">
                  <c:v>15</c:v>
                </c:pt>
                <c:pt idx="2">
                  <c:v>6</c:v>
                </c:pt>
                <c:pt idx="3">
                  <c:v>21</c:v>
                </c:pt>
                <c:pt idx="4">
                  <c:v>5</c:v>
                </c:pt>
                <c:pt idx="5">
                  <c:v>17</c:v>
                </c:pt>
                <c:pt idx="6">
                  <c:v>8</c:v>
                </c:pt>
                <c:pt idx="7">
                  <c:v>5</c:v>
                </c:pt>
                <c:pt idx="8">
                  <c:v>32</c:v>
                </c:pt>
                <c:pt idx="9">
                  <c:v>13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A-4F22-8379-76FCD00CB123}"/>
            </c:ext>
          </c:extLst>
        </c:ser>
        <c:ser>
          <c:idx val="1"/>
          <c:order val="1"/>
          <c:tx>
            <c:strRef>
              <c:f>'Test Report'!$E$52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A5A5A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Report'!$M$53:$M$63</c:f>
              <c:strCache>
                <c:ptCount val="11"/>
                <c:pt idx="0">
                  <c:v>GRAD-101</c:v>
                </c:pt>
                <c:pt idx="1">
                  <c:v>GRAD-102</c:v>
                </c:pt>
                <c:pt idx="2">
                  <c:v>GRAD-103</c:v>
                </c:pt>
                <c:pt idx="3">
                  <c:v>GRAD-201</c:v>
                </c:pt>
                <c:pt idx="4">
                  <c:v>GRAD-202</c:v>
                </c:pt>
                <c:pt idx="5">
                  <c:v>GRAD-203</c:v>
                </c:pt>
                <c:pt idx="6">
                  <c:v>GRAD-204</c:v>
                </c:pt>
                <c:pt idx="7">
                  <c:v>GRAD-301</c:v>
                </c:pt>
                <c:pt idx="8">
                  <c:v>GRAD-302</c:v>
                </c:pt>
                <c:pt idx="9">
                  <c:v>GRAD-303</c:v>
                </c:pt>
                <c:pt idx="10">
                  <c:v>Ümumi</c:v>
                </c:pt>
              </c:strCache>
            </c:strRef>
          </c:cat>
          <c:val>
            <c:numRef>
              <c:f>'Test Report'!$E$53:$E$63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A-4F22-8379-76FCD00CB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74049"/>
        <c:axId val="90078877"/>
      </c:barChart>
      <c:catAx>
        <c:axId val="186740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78877"/>
        <c:crosses val="autoZero"/>
        <c:auto val="1"/>
        <c:lblAlgn val="ctr"/>
        <c:lblOffset val="100"/>
        <c:noMultiLvlLbl val="0"/>
      </c:catAx>
      <c:valAx>
        <c:axId val="90078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740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41400</xdr:rowOff>
    </xdr:from>
    <xdr:to>
      <xdr:col>4</xdr:col>
      <xdr:colOff>747000</xdr:colOff>
      <xdr:row>28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41400</xdr:rowOff>
    </xdr:from>
    <xdr:to>
      <xdr:col>10</xdr:col>
      <xdr:colOff>489960</xdr:colOff>
      <xdr:row>28</xdr:row>
      <xdr:rowOff>94320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65</xdr:row>
      <xdr:rowOff>12240</xdr:rowOff>
    </xdr:from>
    <xdr:to>
      <xdr:col>8</xdr:col>
      <xdr:colOff>321840</xdr:colOff>
      <xdr:row>79</xdr:row>
      <xdr:rowOff>43920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1" zoomScaleNormal="100" workbookViewId="0">
      <selection activeCell="B25" sqref="B25:I25"/>
    </sheetView>
  </sheetViews>
  <sheetFormatPr defaultColWidth="8.6640625" defaultRowHeight="14.4" x14ac:dyDescent="0.3"/>
  <cols>
    <col min="1" max="1" width="24" customWidth="1"/>
    <col min="2" max="9" width="13" customWidth="1"/>
  </cols>
  <sheetData>
    <row r="1" spans="1:9" ht="19.5" customHeight="1" x14ac:dyDescent="0.35">
      <c r="A1" s="5" t="s">
        <v>0</v>
      </c>
    </row>
    <row r="2" spans="1:9" ht="15" customHeight="1" x14ac:dyDescent="0.3">
      <c r="A2" s="6" t="s">
        <v>1</v>
      </c>
    </row>
    <row r="4" spans="1:9" ht="30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</row>
    <row r="5" spans="1:9" ht="15" customHeight="1" x14ac:dyDescent="0.3">
      <c r="A5" s="8" t="s">
        <v>11</v>
      </c>
      <c r="B5" s="9">
        <f>COUNTA('Web Test Cases'!A:A)-1</f>
        <v>128</v>
      </c>
      <c r="C5" s="9">
        <f>COUNTIF('Web Test Cases'!M:M,"Automation")</f>
        <v>29</v>
      </c>
      <c r="D5" s="9">
        <f>COUNTIF('Web Test Cases'!M:M,"Manual")</f>
        <v>99</v>
      </c>
      <c r="E5" s="9">
        <f>COUNTIF('Web Test Cases'!N:N,"Yes")</f>
        <v>35</v>
      </c>
      <c r="F5" s="9">
        <f>COUNTIF('Web Test Cases'!K:K,"PASS ✓")</f>
        <v>126</v>
      </c>
      <c r="G5" s="9">
        <f>COUNTIF('Web Test Cases'!K:K,"FAIL ✗")</f>
        <v>2</v>
      </c>
      <c r="H5" s="9">
        <f>COUNTIF('Web Test Cases'!K:K,"Blocked")</f>
        <v>0</v>
      </c>
      <c r="I5" s="9">
        <f>COUNTIF('Web Test Cases'!K:K,"Not Run")</f>
        <v>0</v>
      </c>
    </row>
    <row r="6" spans="1:9" ht="15" customHeight="1" x14ac:dyDescent="0.3">
      <c r="A6" s="8" t="s">
        <v>12</v>
      </c>
      <c r="B6" s="9">
        <f>COUNTA('API Test Cases'!A:A)-1</f>
        <v>169</v>
      </c>
      <c r="C6" s="9">
        <f>COUNTIF('API Test Cases'!M:M,"Automation")</f>
        <v>156</v>
      </c>
      <c r="D6" s="9">
        <f>COUNTIF('API Test Cases'!M:M,"Manual")</f>
        <v>13</v>
      </c>
      <c r="E6" s="9">
        <f>COUNTIF('API Test Cases'!N:N,"Yes")</f>
        <v>156</v>
      </c>
      <c r="F6" s="9">
        <f>COUNTIF('API Test Cases'!K:K,"PASS ✓")</f>
        <v>168</v>
      </c>
      <c r="G6" s="9">
        <f>COUNTIF('API Test Cases'!K:K,"FAIL ✗")</f>
        <v>0</v>
      </c>
      <c r="H6" s="9">
        <f>COUNTIF('API Test Cases'!K:K,"Blocked")</f>
        <v>1</v>
      </c>
      <c r="I6" s="9">
        <f>COUNTIF('API Test Cases'!K:K,"Not Run")</f>
        <v>0</v>
      </c>
    </row>
    <row r="7" spans="1:9" ht="15" customHeight="1" x14ac:dyDescent="0.3">
      <c r="A7" s="10" t="s">
        <v>13</v>
      </c>
      <c r="B7" s="11">
        <f t="shared" ref="B7:I7" si="0">SUM(B5:B6)</f>
        <v>297</v>
      </c>
      <c r="C7" s="11">
        <f t="shared" si="0"/>
        <v>185</v>
      </c>
      <c r="D7" s="11">
        <f t="shared" si="0"/>
        <v>112</v>
      </c>
      <c r="E7" s="11">
        <f t="shared" si="0"/>
        <v>191</v>
      </c>
      <c r="F7" s="11">
        <f t="shared" si="0"/>
        <v>294</v>
      </c>
      <c r="G7" s="11">
        <f t="shared" si="0"/>
        <v>2</v>
      </c>
      <c r="H7" s="11">
        <f t="shared" si="0"/>
        <v>1</v>
      </c>
      <c r="I7" s="11">
        <f t="shared" si="0"/>
        <v>0</v>
      </c>
    </row>
    <row r="9" spans="1:9" ht="15" customHeight="1" x14ac:dyDescent="0.3">
      <c r="A9" s="12" t="s">
        <v>14</v>
      </c>
    </row>
    <row r="10" spans="1:9" ht="30" customHeight="1" x14ac:dyDescent="0.3">
      <c r="A10" s="13" t="s">
        <v>15</v>
      </c>
      <c r="B10" s="4" t="s">
        <v>16</v>
      </c>
      <c r="C10" s="4"/>
      <c r="D10" s="4"/>
      <c r="E10" s="4"/>
      <c r="F10" s="4"/>
      <c r="G10" s="4"/>
      <c r="H10" s="4"/>
      <c r="I10" s="4"/>
    </row>
    <row r="11" spans="1:9" ht="30" customHeight="1" x14ac:dyDescent="0.3">
      <c r="A11" s="13" t="s">
        <v>17</v>
      </c>
      <c r="B11" s="4" t="s">
        <v>18</v>
      </c>
      <c r="C11" s="4"/>
      <c r="D11" s="4"/>
      <c r="E11" s="4"/>
      <c r="F11" s="4"/>
      <c r="G11" s="4"/>
      <c r="H11" s="4"/>
      <c r="I11" s="4"/>
    </row>
    <row r="12" spans="1:9" ht="30" customHeight="1" x14ac:dyDescent="0.3">
      <c r="A12" s="13" t="s">
        <v>19</v>
      </c>
      <c r="B12" s="4" t="s">
        <v>20</v>
      </c>
      <c r="C12" s="4"/>
      <c r="D12" s="4"/>
      <c r="E12" s="4"/>
      <c r="F12" s="4"/>
      <c r="G12" s="4"/>
      <c r="H12" s="4"/>
      <c r="I12" s="4"/>
    </row>
    <row r="13" spans="1:9" ht="30" customHeight="1" x14ac:dyDescent="0.3">
      <c r="A13" s="13" t="s">
        <v>21</v>
      </c>
      <c r="B13" s="4" t="s">
        <v>22</v>
      </c>
      <c r="C13" s="4"/>
      <c r="D13" s="4"/>
      <c r="E13" s="4"/>
      <c r="F13" s="4"/>
      <c r="G13" s="4"/>
      <c r="H13" s="4"/>
      <c r="I13" s="4"/>
    </row>
    <row r="14" spans="1:9" ht="30" customHeight="1" x14ac:dyDescent="0.3">
      <c r="A14" s="13" t="s">
        <v>23</v>
      </c>
      <c r="B14" s="4" t="s">
        <v>24</v>
      </c>
      <c r="C14" s="4"/>
      <c r="D14" s="4"/>
      <c r="E14" s="4"/>
      <c r="F14" s="4"/>
      <c r="G14" s="4"/>
      <c r="H14" s="4"/>
      <c r="I14" s="4"/>
    </row>
    <row r="15" spans="1:9" ht="30" customHeight="1" x14ac:dyDescent="0.3">
      <c r="A15" s="13" t="s">
        <v>25</v>
      </c>
      <c r="B15" s="4" t="s">
        <v>26</v>
      </c>
      <c r="C15" s="4"/>
      <c r="D15" s="4"/>
      <c r="E15" s="4"/>
      <c r="F15" s="4"/>
      <c r="G15" s="4"/>
      <c r="H15" s="4"/>
      <c r="I15" s="4"/>
    </row>
    <row r="16" spans="1:9" ht="30" customHeight="1" x14ac:dyDescent="0.3">
      <c r="A16" s="13" t="s">
        <v>27</v>
      </c>
      <c r="B16" s="4" t="s">
        <v>28</v>
      </c>
      <c r="C16" s="4"/>
      <c r="D16" s="4"/>
      <c r="E16" s="4"/>
      <c r="F16" s="4"/>
      <c r="G16" s="4"/>
      <c r="H16" s="4"/>
      <c r="I16" s="4"/>
    </row>
    <row r="17" spans="1:9" ht="30" customHeight="1" x14ac:dyDescent="0.3">
      <c r="A17" s="13" t="s">
        <v>29</v>
      </c>
      <c r="B17" s="4" t="s">
        <v>30</v>
      </c>
      <c r="C17" s="4"/>
      <c r="D17" s="4"/>
      <c r="E17" s="4"/>
      <c r="F17" s="4"/>
      <c r="G17" s="4"/>
      <c r="H17" s="4"/>
      <c r="I17" s="4"/>
    </row>
    <row r="19" spans="1:9" ht="15" customHeight="1" x14ac:dyDescent="0.3">
      <c r="A19" s="12" t="s">
        <v>31</v>
      </c>
    </row>
    <row r="20" spans="1:9" ht="30" customHeight="1" x14ac:dyDescent="0.3">
      <c r="A20" s="13" t="s">
        <v>32</v>
      </c>
      <c r="B20" s="4" t="s">
        <v>2250</v>
      </c>
      <c r="C20" s="4"/>
      <c r="D20" s="4"/>
      <c r="E20" s="4"/>
      <c r="F20" s="4"/>
      <c r="G20" s="4"/>
      <c r="H20" s="4"/>
      <c r="I20" s="4"/>
    </row>
    <row r="21" spans="1:9" ht="30" customHeight="1" x14ac:dyDescent="0.3">
      <c r="A21" s="13" t="s">
        <v>33</v>
      </c>
      <c r="B21" s="4" t="s">
        <v>2251</v>
      </c>
      <c r="C21" s="4"/>
      <c r="D21" s="4"/>
      <c r="E21" s="4"/>
      <c r="F21" s="4"/>
      <c r="G21" s="4"/>
      <c r="H21" s="4"/>
      <c r="I21" s="4"/>
    </row>
    <row r="22" spans="1:9" ht="30" customHeight="1" x14ac:dyDescent="0.3">
      <c r="A22" s="13" t="s">
        <v>34</v>
      </c>
      <c r="B22" s="4" t="s">
        <v>35</v>
      </c>
      <c r="C22" s="4"/>
      <c r="D22" s="4"/>
      <c r="E22" s="4"/>
      <c r="F22" s="4"/>
      <c r="G22" s="4"/>
      <c r="H22" s="4"/>
      <c r="I22" s="4"/>
    </row>
    <row r="23" spans="1:9" ht="30" customHeight="1" x14ac:dyDescent="0.3">
      <c r="A23" s="13" t="s">
        <v>36</v>
      </c>
      <c r="B23" s="4" t="s">
        <v>37</v>
      </c>
      <c r="C23" s="4"/>
      <c r="D23" s="4"/>
      <c r="E23" s="4"/>
      <c r="F23" s="4"/>
      <c r="G23" s="4"/>
      <c r="H23" s="4"/>
      <c r="I23" s="4"/>
    </row>
    <row r="25" spans="1:9" ht="30" customHeight="1" x14ac:dyDescent="0.3">
      <c r="A25" s="13" t="s">
        <v>38</v>
      </c>
      <c r="B25" s="4" t="s">
        <v>2252</v>
      </c>
      <c r="C25" s="4"/>
      <c r="D25" s="4"/>
      <c r="E25" s="4"/>
      <c r="F25" s="4"/>
      <c r="G25" s="4"/>
      <c r="H25" s="4"/>
      <c r="I25" s="4"/>
    </row>
  </sheetData>
  <mergeCells count="13">
    <mergeCell ref="B22:I22"/>
    <mergeCell ref="B23:I23"/>
    <mergeCell ref="B25:I25"/>
    <mergeCell ref="B15:I15"/>
    <mergeCell ref="B16:I16"/>
    <mergeCell ref="B17:I17"/>
    <mergeCell ref="B20:I20"/>
    <mergeCell ref="B21:I21"/>
    <mergeCell ref="B10:I10"/>
    <mergeCell ref="B11:I11"/>
    <mergeCell ref="B12:I12"/>
    <mergeCell ref="B13:I13"/>
    <mergeCell ref="B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B2:N10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40" customWidth="1"/>
    <col min="3" max="11" width="13" customWidth="1"/>
    <col min="12" max="12" width="2" customWidth="1"/>
  </cols>
  <sheetData>
    <row r="2" spans="2:14" ht="24" customHeight="1" x14ac:dyDescent="0.5">
      <c r="B2" s="14" t="s">
        <v>39</v>
      </c>
    </row>
    <row r="3" spans="2:14" ht="15" customHeight="1" x14ac:dyDescent="0.3">
      <c r="B3" s="15" t="s">
        <v>40</v>
      </c>
    </row>
    <row r="4" spans="2:14" ht="15" customHeight="1" x14ac:dyDescent="0.3">
      <c r="B4" s="16" t="s">
        <v>41</v>
      </c>
    </row>
    <row r="6" spans="2:14" ht="15.75" customHeight="1" x14ac:dyDescent="0.35">
      <c r="B6" s="17" t="s">
        <v>42</v>
      </c>
      <c r="C6" s="18"/>
      <c r="D6" s="18"/>
      <c r="E6" s="18"/>
      <c r="F6" s="18"/>
      <c r="G6" s="18"/>
      <c r="H6" s="18"/>
      <c r="I6" s="18"/>
      <c r="J6" s="18"/>
      <c r="K6" s="18"/>
    </row>
    <row r="8" spans="2:14" ht="30" customHeight="1" x14ac:dyDescent="0.3">
      <c r="B8" s="19" t="s">
        <v>43</v>
      </c>
      <c r="C8" s="20" t="s">
        <v>3</v>
      </c>
      <c r="D8" s="20" t="s">
        <v>44</v>
      </c>
      <c r="E8" s="20" t="s">
        <v>45</v>
      </c>
      <c r="F8" s="20" t="s">
        <v>46</v>
      </c>
      <c r="G8" s="20" t="s">
        <v>47</v>
      </c>
      <c r="H8" s="20" t="s">
        <v>21</v>
      </c>
      <c r="I8" s="20" t="s">
        <v>9</v>
      </c>
      <c r="J8" s="20" t="s">
        <v>10</v>
      </c>
    </row>
    <row r="9" spans="2:14" ht="36" customHeight="1" x14ac:dyDescent="0.3">
      <c r="B9" s="21" t="s">
        <v>48</v>
      </c>
      <c r="C9" s="22">
        <f>COUNTA('Web Test Cases'!A:A)-1+COUNTA('API Test Cases'!A:A)-1</f>
        <v>297</v>
      </c>
      <c r="D9" s="22">
        <f>C9-COUNTIF('Web Test Cases'!K:K,"Not Run")-COUNTIF('API Test Cases'!K:K,"Not Run")-COUNTIF('Web Test Cases'!K:K,"Blocked")-COUNTIF('API Test Cases'!K:K,"Blocked")</f>
        <v>296</v>
      </c>
      <c r="E9" s="22">
        <f>COUNTIF('Web Test Cases'!K:K,"PASS ✓")+COUNTIF('API Test Cases'!K:K,"PASS ✓")</f>
        <v>294</v>
      </c>
      <c r="F9" s="23">
        <f>IFERROR(E9/D9,0)</f>
        <v>0.9932432432432432</v>
      </c>
      <c r="G9" s="23">
        <f>IFERROR((COUNTIF('Web Test Cases'!M:M,"Automation")+COUNTIF('API Test Cases'!M:M,"Automation"))/C9,0)</f>
        <v>0.62289562289562295</v>
      </c>
      <c r="H9" s="22">
        <f>COUNTA(Tapıntılar!A:A)-1</f>
        <v>3</v>
      </c>
      <c r="I9" s="22">
        <f>COUNTIF('Web Test Cases'!K:K,"Blocked")+COUNTIF('API Test Cases'!K:K,"Blocked")</f>
        <v>1</v>
      </c>
      <c r="J9" s="22">
        <f>COUNTIF('Web Test Cases'!K:K,"Not Run")+COUNTIF('API Test Cases'!K:K,"Not Run")</f>
        <v>0</v>
      </c>
    </row>
    <row r="11" spans="2:14" ht="15.75" customHeight="1" x14ac:dyDescent="0.35">
      <c r="B11" s="17" t="s">
        <v>49</v>
      </c>
      <c r="C11" s="18"/>
      <c r="D11" s="18"/>
      <c r="E11" s="18"/>
      <c r="F11" s="18"/>
      <c r="G11" s="18"/>
      <c r="H11" s="18"/>
      <c r="I11" s="18"/>
      <c r="J11" s="18"/>
      <c r="K11" s="18"/>
    </row>
    <row r="12" spans="2:14" ht="15" customHeight="1" x14ac:dyDescent="0.3">
      <c r="B12" s="24" t="s">
        <v>2</v>
      </c>
      <c r="C12" s="24" t="s">
        <v>3</v>
      </c>
      <c r="D12" s="24" t="s">
        <v>7</v>
      </c>
      <c r="E12" s="24" t="s">
        <v>8</v>
      </c>
      <c r="F12" s="24" t="s">
        <v>9</v>
      </c>
      <c r="G12" s="24" t="s">
        <v>10</v>
      </c>
      <c r="H12" s="24" t="s">
        <v>44</v>
      </c>
      <c r="I12" s="24" t="s">
        <v>46</v>
      </c>
      <c r="J12" s="24" t="s">
        <v>50</v>
      </c>
      <c r="K12" s="24" t="s">
        <v>5</v>
      </c>
    </row>
    <row r="13" spans="2:14" ht="15" customHeight="1" x14ac:dyDescent="0.3">
      <c r="B13" s="25" t="s">
        <v>11</v>
      </c>
      <c r="C13" s="26">
        <f>COUNTA('Web Test Cases'!A:A)-1</f>
        <v>128</v>
      </c>
      <c r="D13" s="27">
        <f>COUNTIF('Web Test Cases'!K:K,"PASS ✓")</f>
        <v>126</v>
      </c>
      <c r="E13" s="28">
        <f>COUNTIF('Web Test Cases'!K:K,"FAIL ✗")</f>
        <v>2</v>
      </c>
      <c r="F13" s="29">
        <f>COUNTIF('Web Test Cases'!K:K,"Blocked")</f>
        <v>0</v>
      </c>
      <c r="G13" s="26">
        <f>COUNTIF('Web Test Cases'!K:K,"Not Run")</f>
        <v>0</v>
      </c>
      <c r="H13" s="26">
        <f>D13+E13</f>
        <v>128</v>
      </c>
      <c r="I13" s="30">
        <f>IFERROR(D13/H13,0)</f>
        <v>0.984375</v>
      </c>
      <c r="J13" s="26">
        <f>COUNTIF('Web Test Cases'!M:M,"Automation")</f>
        <v>29</v>
      </c>
      <c r="K13" s="26">
        <f>COUNTIF('Web Test Cases'!M:M,"Manual")</f>
        <v>99</v>
      </c>
      <c r="M13" s="31" t="s">
        <v>50</v>
      </c>
      <c r="N13" s="31">
        <f>J15</f>
        <v>185</v>
      </c>
    </row>
    <row r="14" spans="2:14" ht="15" customHeight="1" x14ac:dyDescent="0.3">
      <c r="B14" s="25" t="s">
        <v>12</v>
      </c>
      <c r="C14" s="26">
        <f>COUNTA('API Test Cases'!A:A)-1</f>
        <v>169</v>
      </c>
      <c r="D14" s="27">
        <f>COUNTIF('API Test Cases'!K:K,"PASS ✓")</f>
        <v>168</v>
      </c>
      <c r="E14" s="28">
        <f>COUNTIF('API Test Cases'!K:K,"FAIL ✗")</f>
        <v>0</v>
      </c>
      <c r="F14" s="29">
        <f>COUNTIF('API Test Cases'!K:K,"Blocked")</f>
        <v>1</v>
      </c>
      <c r="G14" s="26">
        <f>COUNTIF('API Test Cases'!K:K,"Not Run")</f>
        <v>0</v>
      </c>
      <c r="H14" s="26">
        <f>D14+E14</f>
        <v>168</v>
      </c>
      <c r="I14" s="30">
        <f>IFERROR(D14/H14,0)</f>
        <v>1</v>
      </c>
      <c r="J14" s="26">
        <f>COUNTIF('API Test Cases'!M:M,"Automation")</f>
        <v>156</v>
      </c>
      <c r="K14" s="26">
        <f>COUNTIF('API Test Cases'!M:M,"Manual")</f>
        <v>13</v>
      </c>
      <c r="M14" s="31" t="s">
        <v>5</v>
      </c>
      <c r="N14" s="31">
        <f>K15</f>
        <v>112</v>
      </c>
    </row>
    <row r="15" spans="2:14" ht="15" customHeight="1" x14ac:dyDescent="0.3">
      <c r="B15" s="32" t="s">
        <v>13</v>
      </c>
      <c r="C15" s="33">
        <f t="shared" ref="C15:H15" si="0">SUM(C13:C14)</f>
        <v>297</v>
      </c>
      <c r="D15" s="33">
        <f t="shared" si="0"/>
        <v>294</v>
      </c>
      <c r="E15" s="33">
        <f t="shared" si="0"/>
        <v>2</v>
      </c>
      <c r="F15" s="33">
        <f t="shared" si="0"/>
        <v>1</v>
      </c>
      <c r="G15" s="33">
        <f t="shared" si="0"/>
        <v>0</v>
      </c>
      <c r="H15" s="33">
        <f t="shared" si="0"/>
        <v>296</v>
      </c>
      <c r="I15" s="34">
        <f>IFERROR(D15/H15,0)</f>
        <v>0.9932432432432432</v>
      </c>
      <c r="J15" s="33">
        <f>SUM(J13:J14)</f>
        <v>185</v>
      </c>
      <c r="K15" s="33">
        <f>SUM(K13:K14)</f>
        <v>112</v>
      </c>
    </row>
    <row r="16" spans="2:14" ht="15" customHeight="1" x14ac:dyDescent="0.3">
      <c r="B16" s="35" t="s">
        <v>51</v>
      </c>
    </row>
    <row r="33" spans="2:11" ht="15.75" customHeight="1" x14ac:dyDescent="0.35">
      <c r="B33" s="17" t="s">
        <v>52</v>
      </c>
      <c r="C33" s="18"/>
      <c r="D33" s="18"/>
      <c r="E33" s="18"/>
      <c r="F33" s="18"/>
      <c r="G33" s="18"/>
      <c r="H33" s="18"/>
      <c r="I33" s="18"/>
      <c r="J33" s="18"/>
      <c r="K33" s="18"/>
    </row>
    <row r="34" spans="2:11" ht="15" customHeight="1" x14ac:dyDescent="0.3">
      <c r="B34" s="24" t="s">
        <v>53</v>
      </c>
      <c r="C34" s="24" t="s">
        <v>3</v>
      </c>
      <c r="D34" s="24" t="s">
        <v>50</v>
      </c>
      <c r="E34" s="24" t="s">
        <v>5</v>
      </c>
      <c r="F34" s="24" t="s">
        <v>7</v>
      </c>
      <c r="G34" s="24" t="s">
        <v>8</v>
      </c>
      <c r="H34" s="24" t="s">
        <v>9</v>
      </c>
      <c r="I34" s="24" t="s">
        <v>46</v>
      </c>
      <c r="J34" s="24" t="s">
        <v>6</v>
      </c>
    </row>
    <row r="35" spans="2:11" ht="15" customHeight="1" x14ac:dyDescent="0.3">
      <c r="B35" s="36" t="s">
        <v>54</v>
      </c>
      <c r="C35" s="26">
        <f>COUNTIF('Web Test Cases'!C:C,"Əsas axtarış")</f>
        <v>14</v>
      </c>
      <c r="D35" s="26">
        <f>COUNTIFS('Web Test Cases'!C:C,"Əsas axtarış",'Web Test Cases'!M:M,"Automation")</f>
        <v>9</v>
      </c>
      <c r="E35" s="26">
        <f>COUNTIFS('Web Test Cases'!C:C,"Əsas axtarış",'Web Test Cases'!M:M,"Manual")</f>
        <v>5</v>
      </c>
      <c r="F35" s="26">
        <f>COUNTIFS('Web Test Cases'!C:C,"Əsas axtarış",'Web Test Cases'!K:K,"PASS ✓")</f>
        <v>14</v>
      </c>
      <c r="G35" s="26">
        <f>COUNTIFS('Web Test Cases'!C:C,"Əsas axtarış",'Web Test Cases'!K:K,"FAIL ✗")</f>
        <v>0</v>
      </c>
      <c r="H35" s="26">
        <f>COUNTIFS('Web Test Cases'!C:C,"Əsas axtarış",'Web Test Cases'!K:K,"Blocked")</f>
        <v>0</v>
      </c>
      <c r="I35" s="30">
        <f t="shared" ref="I35:I48" si="1">IFERROR(F35/(F35+G35),0)</f>
        <v>1</v>
      </c>
      <c r="J35" s="26">
        <f>COUNTIFS('Web Test Cases'!C:C,"Əsas axtarış",'Web Test Cases'!N:N,"Yes")</f>
        <v>9</v>
      </c>
    </row>
    <row r="36" spans="2:11" ht="15" customHeight="1" x14ac:dyDescent="0.3">
      <c r="B36" s="36" t="s">
        <v>55</v>
      </c>
      <c r="C36" s="26">
        <f>COUNTIF('Web Test Cases'!C:C,"Qiymət filtri")</f>
        <v>13</v>
      </c>
      <c r="D36" s="26">
        <f>COUNTIFS('Web Test Cases'!C:C,"Qiymət filtri",'Web Test Cases'!M:M,"Automation")</f>
        <v>4</v>
      </c>
      <c r="E36" s="26">
        <f>COUNTIFS('Web Test Cases'!C:C,"Qiymət filtri",'Web Test Cases'!M:M,"Manual")</f>
        <v>9</v>
      </c>
      <c r="F36" s="26">
        <f>COUNTIFS('Web Test Cases'!C:C,"Qiymət filtri",'Web Test Cases'!K:K,"PASS ✓")</f>
        <v>13</v>
      </c>
      <c r="G36" s="26">
        <f>COUNTIFS('Web Test Cases'!C:C,"Qiymət filtri",'Web Test Cases'!K:K,"FAIL ✗")</f>
        <v>0</v>
      </c>
      <c r="H36" s="26">
        <f>COUNTIFS('Web Test Cases'!C:C,"Qiymət filtri",'Web Test Cases'!K:K,"Blocked")</f>
        <v>0</v>
      </c>
      <c r="I36" s="30">
        <f t="shared" si="1"/>
        <v>1</v>
      </c>
      <c r="J36" s="26">
        <f>COUNTIFS('Web Test Cases'!C:C,"Qiymət filtri",'Web Test Cases'!N:N,"Yes")</f>
        <v>4</v>
      </c>
    </row>
    <row r="37" spans="2:11" ht="15" customHeight="1" x14ac:dyDescent="0.3">
      <c r="B37" s="36" t="s">
        <v>56</v>
      </c>
      <c r="C37" s="26">
        <f>COUNTIF('Web Test Cases'!C:C,"Buraxılış ili filtri")</f>
        <v>8</v>
      </c>
      <c r="D37" s="26">
        <f>COUNTIFS('Web Test Cases'!C:C,"Buraxılış ili filtri",'Web Test Cases'!M:M,"Automation")</f>
        <v>1</v>
      </c>
      <c r="E37" s="26">
        <f>COUNTIFS('Web Test Cases'!C:C,"Buraxılış ili filtri",'Web Test Cases'!M:M,"Manual")</f>
        <v>7</v>
      </c>
      <c r="F37" s="26">
        <f>COUNTIFS('Web Test Cases'!C:C,"Buraxılış ili filtri",'Web Test Cases'!K:K,"PASS ✓")</f>
        <v>8</v>
      </c>
      <c r="G37" s="26">
        <f>COUNTIFS('Web Test Cases'!C:C,"Buraxılış ili filtri",'Web Test Cases'!K:K,"FAIL ✗")</f>
        <v>0</v>
      </c>
      <c r="H37" s="26">
        <f>COUNTIFS('Web Test Cases'!C:C,"Buraxılış ili filtri",'Web Test Cases'!K:K,"Blocked")</f>
        <v>0</v>
      </c>
      <c r="I37" s="30">
        <f t="shared" si="1"/>
        <v>1</v>
      </c>
      <c r="J37" s="26">
        <f>COUNTIFS('Web Test Cases'!C:C,"Buraxılış ili filtri",'Web Test Cases'!N:N,"Yes")</f>
        <v>1</v>
      </c>
    </row>
    <row r="38" spans="2:11" ht="15" customHeight="1" x14ac:dyDescent="0.3">
      <c r="B38" s="36" t="s">
        <v>57</v>
      </c>
      <c r="C38" s="26">
        <f>COUNTIF('Web Test Cases'!C:C,"Əlavə filtrlər")</f>
        <v>25</v>
      </c>
      <c r="D38" s="26">
        <f>COUNTIFS('Web Test Cases'!C:C,"Əlavə filtrlər",'Web Test Cases'!M:M,"Automation")</f>
        <v>4</v>
      </c>
      <c r="E38" s="26">
        <f>COUNTIFS('Web Test Cases'!C:C,"Əlavə filtrlər",'Web Test Cases'!M:M,"Manual")</f>
        <v>21</v>
      </c>
      <c r="F38" s="26">
        <f>COUNTIFS('Web Test Cases'!C:C,"Əlavə filtrlər",'Web Test Cases'!K:K,"PASS ✓")</f>
        <v>24</v>
      </c>
      <c r="G38" s="26">
        <f>COUNTIFS('Web Test Cases'!C:C,"Əlavə filtrlər",'Web Test Cases'!K:K,"FAIL ✗")</f>
        <v>1</v>
      </c>
      <c r="H38" s="26">
        <f>COUNTIFS('Web Test Cases'!C:C,"Əlavə filtrlər",'Web Test Cases'!K:K,"Blocked")</f>
        <v>0</v>
      </c>
      <c r="I38" s="30">
        <f t="shared" si="1"/>
        <v>0.96</v>
      </c>
      <c r="J38" s="26">
        <f>COUNTIFS('Web Test Cases'!C:C,"Əlavə filtrlər",'Web Test Cases'!N:N,"Yes")</f>
        <v>4</v>
      </c>
    </row>
    <row r="39" spans="2:11" ht="15" customHeight="1" x14ac:dyDescent="0.3">
      <c r="B39" s="36" t="s">
        <v>58</v>
      </c>
      <c r="C39" s="26">
        <f>COUNTIF('Web Test Cases'!C:C,"Sıralama")</f>
        <v>7</v>
      </c>
      <c r="D39" s="26">
        <f>COUNTIFS('Web Test Cases'!C:C,"Sıralama",'Web Test Cases'!M:M,"Automation")</f>
        <v>3</v>
      </c>
      <c r="E39" s="26">
        <f>COUNTIFS('Web Test Cases'!C:C,"Sıralama",'Web Test Cases'!M:M,"Manual")</f>
        <v>4</v>
      </c>
      <c r="F39" s="26">
        <f>COUNTIFS('Web Test Cases'!C:C,"Sıralama",'Web Test Cases'!K:K,"PASS ✓")</f>
        <v>7</v>
      </c>
      <c r="G39" s="26">
        <f>COUNTIFS('Web Test Cases'!C:C,"Sıralama",'Web Test Cases'!K:K,"FAIL ✗")</f>
        <v>0</v>
      </c>
      <c r="H39" s="26">
        <f>COUNTIFS('Web Test Cases'!C:C,"Sıralama",'Web Test Cases'!K:K,"Blocked")</f>
        <v>0</v>
      </c>
      <c r="I39" s="30">
        <f t="shared" si="1"/>
        <v>1</v>
      </c>
      <c r="J39" s="26">
        <f>COUNTIFS('Web Test Cases'!C:C,"Sıralama",'Web Test Cases'!N:N,"Yes")</f>
        <v>3</v>
      </c>
    </row>
    <row r="40" spans="2:11" ht="15" customHeight="1" x14ac:dyDescent="0.3">
      <c r="B40" s="36" t="s">
        <v>59</v>
      </c>
      <c r="C40" s="26">
        <f>COUNTIF('Web Test Cases'!C:C,"Səhifələmə")</f>
        <v>7</v>
      </c>
      <c r="D40" s="26">
        <f>COUNTIFS('Web Test Cases'!C:C,"Səhifələmə",'Web Test Cases'!M:M,"Automation")</f>
        <v>1</v>
      </c>
      <c r="E40" s="26">
        <f>COUNTIFS('Web Test Cases'!C:C,"Səhifələmə",'Web Test Cases'!M:M,"Manual")</f>
        <v>6</v>
      </c>
      <c r="F40" s="26">
        <f>COUNTIFS('Web Test Cases'!C:C,"Səhifələmə",'Web Test Cases'!K:K,"PASS ✓")</f>
        <v>7</v>
      </c>
      <c r="G40" s="26">
        <f>COUNTIFS('Web Test Cases'!C:C,"Səhifələmə",'Web Test Cases'!K:K,"FAIL ✗")</f>
        <v>0</v>
      </c>
      <c r="H40" s="26">
        <f>COUNTIFS('Web Test Cases'!C:C,"Səhifələmə",'Web Test Cases'!K:K,"Blocked")</f>
        <v>0</v>
      </c>
      <c r="I40" s="30">
        <f t="shared" si="1"/>
        <v>1</v>
      </c>
      <c r="J40" s="26">
        <f>COUNTIFS('Web Test Cases'!C:C,"Səhifələmə",'Web Test Cases'!N:N,"Yes")</f>
        <v>1</v>
      </c>
    </row>
    <row r="41" spans="2:11" ht="15" customHeight="1" x14ac:dyDescent="0.3">
      <c r="B41" s="36" t="s">
        <v>60</v>
      </c>
      <c r="C41" s="26">
        <f>COUNTIF('Web Test Cases'!C:C,"Elan səhifəsi")</f>
        <v>10</v>
      </c>
      <c r="D41" s="26">
        <f>COUNTIFS('Web Test Cases'!C:C,"Elan səhifəsi",'Web Test Cases'!M:M,"Automation")</f>
        <v>3</v>
      </c>
      <c r="E41" s="26">
        <f>COUNTIFS('Web Test Cases'!C:C,"Elan səhifəsi",'Web Test Cases'!M:M,"Manual")</f>
        <v>7</v>
      </c>
      <c r="F41" s="26">
        <f>COUNTIFS('Web Test Cases'!C:C,"Elan səhifəsi",'Web Test Cases'!K:K,"PASS ✓")</f>
        <v>10</v>
      </c>
      <c r="G41" s="26">
        <f>COUNTIFS('Web Test Cases'!C:C,"Elan səhifəsi",'Web Test Cases'!K:K,"FAIL ✗")</f>
        <v>0</v>
      </c>
      <c r="H41" s="26">
        <f>COUNTIFS('Web Test Cases'!C:C,"Elan səhifəsi",'Web Test Cases'!K:K,"Blocked")</f>
        <v>0</v>
      </c>
      <c r="I41" s="30">
        <f t="shared" si="1"/>
        <v>1</v>
      </c>
      <c r="J41" s="26">
        <f>COUNTIFS('Web Test Cases'!C:C,"Elan səhifəsi",'Web Test Cases'!N:N,"Yes")</f>
        <v>4</v>
      </c>
    </row>
    <row r="42" spans="2:11" ht="15" customHeight="1" x14ac:dyDescent="0.3">
      <c r="B42" s="36" t="s">
        <v>61</v>
      </c>
      <c r="C42" s="26">
        <f>COUNTIF('Web Test Cases'!C:C,"Seçilmişlər")</f>
        <v>4</v>
      </c>
      <c r="D42" s="26">
        <f>COUNTIFS('Web Test Cases'!C:C,"Seçilmişlər",'Web Test Cases'!M:M,"Automation")</f>
        <v>2</v>
      </c>
      <c r="E42" s="26">
        <f>COUNTIFS('Web Test Cases'!C:C,"Seçilmişlər",'Web Test Cases'!M:M,"Manual")</f>
        <v>2</v>
      </c>
      <c r="F42" s="26">
        <f>COUNTIFS('Web Test Cases'!C:C,"Seçilmişlər",'Web Test Cases'!K:K,"PASS ✓")</f>
        <v>4</v>
      </c>
      <c r="G42" s="26">
        <f>COUNTIFS('Web Test Cases'!C:C,"Seçilmişlər",'Web Test Cases'!K:K,"FAIL ✗")</f>
        <v>0</v>
      </c>
      <c r="H42" s="26">
        <f>COUNTIFS('Web Test Cases'!C:C,"Seçilmişlər",'Web Test Cases'!K:K,"Blocked")</f>
        <v>0</v>
      </c>
      <c r="I42" s="30">
        <f t="shared" si="1"/>
        <v>1</v>
      </c>
      <c r="J42" s="26">
        <f>COUNTIFS('Web Test Cases'!C:C,"Seçilmişlər",'Web Test Cases'!N:N,"Yes")</f>
        <v>2</v>
      </c>
    </row>
    <row r="43" spans="2:11" ht="15" customHeight="1" x14ac:dyDescent="0.3">
      <c r="B43" s="36" t="s">
        <v>62</v>
      </c>
      <c r="C43" s="26">
        <f>COUNTIF('Web Test Cases'!C:C,"Dil və naviqasiya")</f>
        <v>9</v>
      </c>
      <c r="D43" s="26">
        <f>COUNTIFS('Web Test Cases'!C:C,"Dil və naviqasiya",'Web Test Cases'!M:M,"Automation")</f>
        <v>2</v>
      </c>
      <c r="E43" s="26">
        <f>COUNTIFS('Web Test Cases'!C:C,"Dil və naviqasiya",'Web Test Cases'!M:M,"Manual")</f>
        <v>7</v>
      </c>
      <c r="F43" s="26">
        <f>COUNTIFS('Web Test Cases'!C:C,"Dil və naviqasiya",'Web Test Cases'!K:K,"PASS ✓")</f>
        <v>9</v>
      </c>
      <c r="G43" s="26">
        <f>COUNTIFS('Web Test Cases'!C:C,"Dil və naviqasiya",'Web Test Cases'!K:K,"FAIL ✗")</f>
        <v>0</v>
      </c>
      <c r="H43" s="26">
        <f>COUNTIFS('Web Test Cases'!C:C,"Dil və naviqasiya",'Web Test Cases'!K:K,"Blocked")</f>
        <v>0</v>
      </c>
      <c r="I43" s="30">
        <f t="shared" si="1"/>
        <v>1</v>
      </c>
      <c r="J43" s="26">
        <f>COUNTIFS('Web Test Cases'!C:C,"Dil və naviqasiya",'Web Test Cases'!N:N,"Yes")</f>
        <v>2</v>
      </c>
    </row>
    <row r="44" spans="2:11" ht="15" customHeight="1" x14ac:dyDescent="0.3">
      <c r="B44" s="36" t="s">
        <v>63</v>
      </c>
      <c r="C44" s="26">
        <f>COUNTIF('Web Test Cases'!C:C,"Giriş (Autentifikasiya)")</f>
        <v>12</v>
      </c>
      <c r="D44" s="26">
        <f>COUNTIFS('Web Test Cases'!C:C,"Giriş (Autentifikasiya)",'Web Test Cases'!M:M,"Automation")</f>
        <v>0</v>
      </c>
      <c r="E44" s="26">
        <f>COUNTIFS('Web Test Cases'!C:C,"Giriş (Autentifikasiya)",'Web Test Cases'!M:M,"Manual")</f>
        <v>12</v>
      </c>
      <c r="F44" s="26">
        <f>COUNTIFS('Web Test Cases'!C:C,"Giriş (Autentifikasiya)",'Web Test Cases'!K:K,"PASS ✓")</f>
        <v>12</v>
      </c>
      <c r="G44" s="26">
        <f>COUNTIFS('Web Test Cases'!C:C,"Giriş (Autentifikasiya)",'Web Test Cases'!K:K,"FAIL ✗")</f>
        <v>0</v>
      </c>
      <c r="H44" s="26">
        <f>COUNTIFS('Web Test Cases'!C:C,"Giriş (Autentifikasiya)",'Web Test Cases'!K:K,"Blocked")</f>
        <v>0</v>
      </c>
      <c r="I44" s="30">
        <f t="shared" si="1"/>
        <v>1</v>
      </c>
      <c r="J44" s="26">
        <f>COUNTIFS('Web Test Cases'!C:C,"Giriş (Autentifikasiya)",'Web Test Cases'!N:N,"Yes")</f>
        <v>3</v>
      </c>
    </row>
    <row r="45" spans="2:11" ht="15" customHeight="1" x14ac:dyDescent="0.3">
      <c r="B45" s="36" t="s">
        <v>64</v>
      </c>
      <c r="C45" s="26">
        <f>COUNTIF('Web Test Cases'!C:C,"Yeni elan")</f>
        <v>12</v>
      </c>
      <c r="D45" s="26">
        <f>COUNTIFS('Web Test Cases'!C:C,"Yeni elan",'Web Test Cases'!M:M,"Automation")</f>
        <v>0</v>
      </c>
      <c r="E45" s="26">
        <f>COUNTIFS('Web Test Cases'!C:C,"Yeni elan",'Web Test Cases'!M:M,"Manual")</f>
        <v>12</v>
      </c>
      <c r="F45" s="26">
        <f>COUNTIFS('Web Test Cases'!C:C,"Yeni elan",'Web Test Cases'!K:K,"PASS ✓")</f>
        <v>11</v>
      </c>
      <c r="G45" s="26">
        <f>COUNTIFS('Web Test Cases'!C:C,"Yeni elan",'Web Test Cases'!K:K,"FAIL ✗")</f>
        <v>1</v>
      </c>
      <c r="H45" s="26">
        <f>COUNTIFS('Web Test Cases'!C:C,"Yeni elan",'Web Test Cases'!K:K,"Blocked")</f>
        <v>0</v>
      </c>
      <c r="I45" s="30">
        <f t="shared" si="1"/>
        <v>0.91666666666666663</v>
      </c>
      <c r="J45" s="26">
        <f>COUNTIFS('Web Test Cases'!C:C,"Yeni elan",'Web Test Cases'!N:N,"Yes")</f>
        <v>2</v>
      </c>
    </row>
    <row r="46" spans="2:11" ht="15" customHeight="1" x14ac:dyDescent="0.3">
      <c r="B46" s="36" t="s">
        <v>65</v>
      </c>
      <c r="C46" s="26">
        <f>COUNTIF('Web Test Cases'!C:C,"Ödənişli xidmətlər")</f>
        <v>1</v>
      </c>
      <c r="D46" s="26">
        <f>COUNTIFS('Web Test Cases'!C:C,"Ödənişli xidmətlər",'Web Test Cases'!M:M,"Automation")</f>
        <v>0</v>
      </c>
      <c r="E46" s="26">
        <f>COUNTIFS('Web Test Cases'!C:C,"Ödənişli xidmətlər",'Web Test Cases'!M:M,"Manual")</f>
        <v>1</v>
      </c>
      <c r="F46" s="26">
        <f>COUNTIFS('Web Test Cases'!C:C,"Ödənişli xidmətlər",'Web Test Cases'!K:K,"PASS ✓")</f>
        <v>1</v>
      </c>
      <c r="G46" s="26">
        <f>COUNTIFS('Web Test Cases'!C:C,"Ödənişli xidmətlər",'Web Test Cases'!K:K,"FAIL ✗")</f>
        <v>0</v>
      </c>
      <c r="H46" s="26">
        <f>COUNTIFS('Web Test Cases'!C:C,"Ödənişli xidmətlər",'Web Test Cases'!K:K,"Blocked")</f>
        <v>0</v>
      </c>
      <c r="I46" s="30">
        <f t="shared" si="1"/>
        <v>1</v>
      </c>
      <c r="J46" s="26">
        <f>COUNTIFS('Web Test Cases'!C:C,"Ödənişli xidmətlər",'Web Test Cases'!N:N,"Yes")</f>
        <v>0</v>
      </c>
    </row>
    <row r="47" spans="2:11" ht="15" customHeight="1" x14ac:dyDescent="0.3">
      <c r="B47" s="36" t="s">
        <v>66</v>
      </c>
      <c r="C47" s="26">
        <f>COUNTIF('Web Test Cases'!C:C,"UI/UX")</f>
        <v>6</v>
      </c>
      <c r="D47" s="26">
        <f>COUNTIFS('Web Test Cases'!C:C,"UI/UX",'Web Test Cases'!M:M,"Automation")</f>
        <v>0</v>
      </c>
      <c r="E47" s="26">
        <f>COUNTIFS('Web Test Cases'!C:C,"UI/UX",'Web Test Cases'!M:M,"Manual")</f>
        <v>6</v>
      </c>
      <c r="F47" s="26">
        <f>COUNTIFS('Web Test Cases'!C:C,"UI/UX",'Web Test Cases'!K:K,"PASS ✓")</f>
        <v>6</v>
      </c>
      <c r="G47" s="26">
        <f>COUNTIFS('Web Test Cases'!C:C,"UI/UX",'Web Test Cases'!K:K,"FAIL ✗")</f>
        <v>0</v>
      </c>
      <c r="H47" s="26">
        <f>COUNTIFS('Web Test Cases'!C:C,"UI/UX",'Web Test Cases'!K:K,"Blocked")</f>
        <v>0</v>
      </c>
      <c r="I47" s="30">
        <f t="shared" si="1"/>
        <v>1</v>
      </c>
      <c r="J47" s="26">
        <f>COUNTIFS('Web Test Cases'!C:C,"UI/UX",'Web Test Cases'!N:N,"Yes")</f>
        <v>0</v>
      </c>
    </row>
    <row r="48" spans="2:11" ht="15" customHeight="1" x14ac:dyDescent="0.3">
      <c r="B48" s="32" t="s">
        <v>13</v>
      </c>
      <c r="C48" s="33">
        <f t="shared" ref="C48:H48" si="2">SUM(C35:C47)</f>
        <v>128</v>
      </c>
      <c r="D48" s="33">
        <f t="shared" si="2"/>
        <v>29</v>
      </c>
      <c r="E48" s="33">
        <f t="shared" si="2"/>
        <v>99</v>
      </c>
      <c r="F48" s="33">
        <f t="shared" si="2"/>
        <v>126</v>
      </c>
      <c r="G48" s="33">
        <f t="shared" si="2"/>
        <v>2</v>
      </c>
      <c r="H48" s="33">
        <f t="shared" si="2"/>
        <v>0</v>
      </c>
      <c r="I48" s="34">
        <f t="shared" si="1"/>
        <v>0.984375</v>
      </c>
      <c r="J48" s="33">
        <f>SUM(J35:J47)</f>
        <v>35</v>
      </c>
    </row>
    <row r="51" spans="2:13" ht="15.75" customHeight="1" x14ac:dyDescent="0.35">
      <c r="B51" s="17" t="s">
        <v>67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3" ht="15" customHeight="1" x14ac:dyDescent="0.3">
      <c r="B52" s="24" t="s">
        <v>68</v>
      </c>
      <c r="C52" s="24" t="s">
        <v>3</v>
      </c>
      <c r="D52" s="24" t="s">
        <v>50</v>
      </c>
      <c r="E52" s="24" t="s">
        <v>5</v>
      </c>
      <c r="F52" s="24" t="s">
        <v>7</v>
      </c>
      <c r="G52" s="24" t="s">
        <v>8</v>
      </c>
      <c r="H52" s="24" t="s">
        <v>9</v>
      </c>
      <c r="I52" s="24" t="s">
        <v>46</v>
      </c>
      <c r="J52" s="24" t="s">
        <v>69</v>
      </c>
      <c r="M52" s="31" t="s">
        <v>70</v>
      </c>
    </row>
    <row r="53" spans="2:13" ht="15" customHeight="1" x14ac:dyDescent="0.3">
      <c r="B53" s="36" t="s">
        <v>71</v>
      </c>
      <c r="C53" s="26">
        <f>COUNTIF('API Test Cases'!C:C,"GRAD-101 · POST /beneficiaries")</f>
        <v>31</v>
      </c>
      <c r="D53" s="26">
        <f>COUNTIFS('API Test Cases'!C:C,"GRAD-101 · POST /beneficiaries",'API Test Cases'!M:M,"Automation")</f>
        <v>30</v>
      </c>
      <c r="E53" s="26">
        <f>COUNTIFS('API Test Cases'!C:C,"GRAD-101 · POST /beneficiaries",'API Test Cases'!M:M,"Manual")</f>
        <v>1</v>
      </c>
      <c r="F53" s="26">
        <f>COUNTIFS('API Test Cases'!C:C,"GRAD-101 · POST /beneficiaries",'API Test Cases'!K:K,"PASS ✓")</f>
        <v>31</v>
      </c>
      <c r="G53" s="26">
        <f>COUNTIFS('API Test Cases'!C:C,"GRAD-101 · POST /beneficiaries",'API Test Cases'!K:K,"FAIL ✗")</f>
        <v>0</v>
      </c>
      <c r="H53" s="26">
        <f>COUNTIFS('API Test Cases'!C:C,"GRAD-101 · POST /beneficiaries",'API Test Cases'!K:K,"Blocked")</f>
        <v>0</v>
      </c>
      <c r="I53" s="30">
        <f t="shared" ref="I53:I64" si="3">IFERROR(F53/(F53+G53),0)</f>
        <v>1</v>
      </c>
      <c r="J53" s="26">
        <f>COUNTIFS('API Test Cases'!C:C,"GRAD-101 · POST /beneficiaries",'API Test Cases'!D:D,"Highest")+COUNTIFS('API Test Cases'!C:C,"GRAD-101 · POST /beneficiaries",'API Test Cases'!D:D,"High")</f>
        <v>15</v>
      </c>
      <c r="M53" s="31" t="s">
        <v>72</v>
      </c>
    </row>
    <row r="54" spans="2:13" ht="15" customHeight="1" x14ac:dyDescent="0.3">
      <c r="B54" s="36" t="s">
        <v>73</v>
      </c>
      <c r="C54" s="26">
        <f>COUNTIF('API Test Cases'!C:C,"GRAD-102 · GET /beneficiaries")</f>
        <v>15</v>
      </c>
      <c r="D54" s="26">
        <f>COUNTIFS('API Test Cases'!C:C,"GRAD-102 · GET /beneficiaries",'API Test Cases'!M:M,"Automation")</f>
        <v>15</v>
      </c>
      <c r="E54" s="26">
        <f>COUNTIFS('API Test Cases'!C:C,"GRAD-102 · GET /beneficiaries",'API Test Cases'!M:M,"Manual")</f>
        <v>0</v>
      </c>
      <c r="F54" s="26">
        <f>COUNTIFS('API Test Cases'!C:C,"GRAD-102 · GET /beneficiaries",'API Test Cases'!K:K,"PASS ✓")</f>
        <v>15</v>
      </c>
      <c r="G54" s="26">
        <f>COUNTIFS('API Test Cases'!C:C,"GRAD-102 · GET /beneficiaries",'API Test Cases'!K:K,"FAIL ✗")</f>
        <v>0</v>
      </c>
      <c r="H54" s="26">
        <f>COUNTIFS('API Test Cases'!C:C,"GRAD-102 · GET /beneficiaries",'API Test Cases'!K:K,"Blocked")</f>
        <v>0</v>
      </c>
      <c r="I54" s="30">
        <f t="shared" si="3"/>
        <v>1</v>
      </c>
      <c r="J54" s="26">
        <f>COUNTIFS('API Test Cases'!C:C,"GRAD-102 · GET /beneficiaries",'API Test Cases'!D:D,"Highest")+COUNTIFS('API Test Cases'!C:C,"GRAD-102 · GET /beneficiaries",'API Test Cases'!D:D,"High")</f>
        <v>2</v>
      </c>
      <c r="M54" s="31" t="s">
        <v>74</v>
      </c>
    </row>
    <row r="55" spans="2:13" ht="15" customHeight="1" x14ac:dyDescent="0.3">
      <c r="B55" s="36" t="s">
        <v>75</v>
      </c>
      <c r="C55" s="26">
        <f>COUNTIF('API Test Cases'!C:C,"GRAD-103 · DELETE /beneficiaries/{id}")</f>
        <v>7</v>
      </c>
      <c r="D55" s="26">
        <f>COUNTIFS('API Test Cases'!C:C,"GRAD-103 · DELETE /beneficiaries/{id}",'API Test Cases'!M:M,"Automation")</f>
        <v>6</v>
      </c>
      <c r="E55" s="26">
        <f>COUNTIFS('API Test Cases'!C:C,"GRAD-103 · DELETE /beneficiaries/{id}",'API Test Cases'!M:M,"Manual")</f>
        <v>1</v>
      </c>
      <c r="F55" s="26">
        <f>COUNTIFS('API Test Cases'!C:C,"GRAD-103 · DELETE /beneficiaries/{id}",'API Test Cases'!K:K,"PASS ✓")</f>
        <v>7</v>
      </c>
      <c r="G55" s="26">
        <f>COUNTIFS('API Test Cases'!C:C,"GRAD-103 · DELETE /beneficiaries/{id}",'API Test Cases'!K:K,"FAIL ✗")</f>
        <v>0</v>
      </c>
      <c r="H55" s="26">
        <f>COUNTIFS('API Test Cases'!C:C,"GRAD-103 · DELETE /beneficiaries/{id}",'API Test Cases'!K:K,"Blocked")</f>
        <v>0</v>
      </c>
      <c r="I55" s="30">
        <f t="shared" si="3"/>
        <v>1</v>
      </c>
      <c r="J55" s="26">
        <f>COUNTIFS('API Test Cases'!C:C,"GRAD-103 · DELETE /beneficiaries/{id}",'API Test Cases'!D:D,"Highest")+COUNTIFS('API Test Cases'!C:C,"GRAD-103 · DELETE /beneficiaries/{id}",'API Test Cases'!D:D,"High")</f>
        <v>2</v>
      </c>
      <c r="M55" s="31" t="s">
        <v>76</v>
      </c>
    </row>
    <row r="56" spans="2:13" ht="15" customHeight="1" x14ac:dyDescent="0.3">
      <c r="B56" s="36" t="s">
        <v>77</v>
      </c>
      <c r="C56" s="26">
        <f>COUNTIF('API Test Cases'!C:C,"GRAD-201 · POST /cards")</f>
        <v>21</v>
      </c>
      <c r="D56" s="26">
        <f>COUNTIFS('API Test Cases'!C:C,"GRAD-201 · POST /cards",'API Test Cases'!M:M,"Automation")</f>
        <v>21</v>
      </c>
      <c r="E56" s="26">
        <f>COUNTIFS('API Test Cases'!C:C,"GRAD-201 · POST /cards",'API Test Cases'!M:M,"Manual")</f>
        <v>0</v>
      </c>
      <c r="F56" s="26">
        <f>COUNTIFS('API Test Cases'!C:C,"GRAD-201 · POST /cards",'API Test Cases'!K:K,"PASS ✓")</f>
        <v>21</v>
      </c>
      <c r="G56" s="26">
        <f>COUNTIFS('API Test Cases'!C:C,"GRAD-201 · POST /cards",'API Test Cases'!K:K,"FAIL ✗")</f>
        <v>0</v>
      </c>
      <c r="H56" s="26">
        <f>COUNTIFS('API Test Cases'!C:C,"GRAD-201 · POST /cards",'API Test Cases'!K:K,"Blocked")</f>
        <v>0</v>
      </c>
      <c r="I56" s="30">
        <f t="shared" si="3"/>
        <v>1</v>
      </c>
      <c r="J56" s="26">
        <f>COUNTIFS('API Test Cases'!C:C,"GRAD-201 · POST /cards",'API Test Cases'!D:D,"Highest")+COUNTIFS('API Test Cases'!C:C,"GRAD-201 · POST /cards",'API Test Cases'!D:D,"High")</f>
        <v>12</v>
      </c>
      <c r="M56" s="31" t="s">
        <v>78</v>
      </c>
    </row>
    <row r="57" spans="2:13" ht="15" customHeight="1" x14ac:dyDescent="0.3">
      <c r="B57" s="36" t="s">
        <v>79</v>
      </c>
      <c r="C57" s="26">
        <f>COUNTIF('API Test Cases'!C:C,"GRAD-202 · GET /cards/{id}")</f>
        <v>6</v>
      </c>
      <c r="D57" s="26">
        <f>COUNTIFS('API Test Cases'!C:C,"GRAD-202 · GET /cards/{id}",'API Test Cases'!M:M,"Automation")</f>
        <v>5</v>
      </c>
      <c r="E57" s="26">
        <f>COUNTIFS('API Test Cases'!C:C,"GRAD-202 · GET /cards/{id}",'API Test Cases'!M:M,"Manual")</f>
        <v>1</v>
      </c>
      <c r="F57" s="26">
        <f>COUNTIFS('API Test Cases'!C:C,"GRAD-202 · GET /cards/{id}",'API Test Cases'!K:K,"PASS ✓")</f>
        <v>6</v>
      </c>
      <c r="G57" s="26">
        <f>COUNTIFS('API Test Cases'!C:C,"GRAD-202 · GET /cards/{id}",'API Test Cases'!K:K,"FAIL ✗")</f>
        <v>0</v>
      </c>
      <c r="H57" s="26">
        <f>COUNTIFS('API Test Cases'!C:C,"GRAD-202 · GET /cards/{id}",'API Test Cases'!K:K,"Blocked")</f>
        <v>0</v>
      </c>
      <c r="I57" s="30">
        <f t="shared" si="3"/>
        <v>1</v>
      </c>
      <c r="J57" s="26">
        <f>COUNTIFS('API Test Cases'!C:C,"GRAD-202 · GET /cards/{id}",'API Test Cases'!D:D,"Highest")+COUNTIFS('API Test Cases'!C:C,"GRAD-202 · GET /cards/{id}",'API Test Cases'!D:D,"High")</f>
        <v>3</v>
      </c>
      <c r="M57" s="31" t="s">
        <v>80</v>
      </c>
    </row>
    <row r="58" spans="2:13" ht="15" customHeight="1" x14ac:dyDescent="0.3">
      <c r="B58" s="36" t="s">
        <v>81</v>
      </c>
      <c r="C58" s="26">
        <f>COUNTIF('API Test Cases'!C:C,"GRAD-203 · POST /cards/{id}/block")</f>
        <v>19</v>
      </c>
      <c r="D58" s="26">
        <f>COUNTIFS('API Test Cases'!C:C,"GRAD-203 · POST /cards/{id}/block",'API Test Cases'!M:M,"Automation")</f>
        <v>17</v>
      </c>
      <c r="E58" s="26">
        <f>COUNTIFS('API Test Cases'!C:C,"GRAD-203 · POST /cards/{id}/block",'API Test Cases'!M:M,"Manual")</f>
        <v>2</v>
      </c>
      <c r="F58" s="26">
        <f>COUNTIFS('API Test Cases'!C:C,"GRAD-203 · POST /cards/{id}/block",'API Test Cases'!K:K,"PASS ✓")</f>
        <v>19</v>
      </c>
      <c r="G58" s="26">
        <f>COUNTIFS('API Test Cases'!C:C,"GRAD-203 · POST /cards/{id}/block",'API Test Cases'!K:K,"FAIL ✗")</f>
        <v>0</v>
      </c>
      <c r="H58" s="26">
        <f>COUNTIFS('API Test Cases'!C:C,"GRAD-203 · POST /cards/{id}/block",'API Test Cases'!K:K,"Blocked")</f>
        <v>0</v>
      </c>
      <c r="I58" s="30">
        <f t="shared" si="3"/>
        <v>1</v>
      </c>
      <c r="J58" s="26">
        <f>COUNTIFS('API Test Cases'!C:C,"GRAD-203 · POST /cards/{id}/block",'API Test Cases'!D:D,"Highest")+COUNTIFS('API Test Cases'!C:C,"GRAD-203 · POST /cards/{id}/block",'API Test Cases'!D:D,"High")</f>
        <v>10</v>
      </c>
      <c r="M58" s="31" t="s">
        <v>82</v>
      </c>
    </row>
    <row r="59" spans="2:13" ht="15" customHeight="1" x14ac:dyDescent="0.3">
      <c r="B59" s="36" t="s">
        <v>83</v>
      </c>
      <c r="C59" s="26">
        <f>COUNTIF('API Test Cases'!C:C,"GRAD-204 · POST /cards/{id}/unblock")</f>
        <v>9</v>
      </c>
      <c r="D59" s="26">
        <f>COUNTIFS('API Test Cases'!C:C,"GRAD-204 · POST /cards/{id}/unblock",'API Test Cases'!M:M,"Automation")</f>
        <v>8</v>
      </c>
      <c r="E59" s="26">
        <f>COUNTIFS('API Test Cases'!C:C,"GRAD-204 · POST /cards/{id}/unblock",'API Test Cases'!M:M,"Manual")</f>
        <v>1</v>
      </c>
      <c r="F59" s="26">
        <f>COUNTIFS('API Test Cases'!C:C,"GRAD-204 · POST /cards/{id}/unblock",'API Test Cases'!K:K,"PASS ✓")</f>
        <v>9</v>
      </c>
      <c r="G59" s="26">
        <f>COUNTIFS('API Test Cases'!C:C,"GRAD-204 · POST /cards/{id}/unblock",'API Test Cases'!K:K,"FAIL ✗")</f>
        <v>0</v>
      </c>
      <c r="H59" s="26">
        <f>COUNTIFS('API Test Cases'!C:C,"GRAD-204 · POST /cards/{id}/unblock",'API Test Cases'!K:K,"Blocked")</f>
        <v>0</v>
      </c>
      <c r="I59" s="30">
        <f t="shared" si="3"/>
        <v>1</v>
      </c>
      <c r="J59" s="26">
        <f>COUNTIFS('API Test Cases'!C:C,"GRAD-204 · POST /cards/{id}/unblock",'API Test Cases'!D:D,"Highest")+COUNTIFS('API Test Cases'!C:C,"GRAD-204 · POST /cards/{id}/unblock",'API Test Cases'!D:D,"High")</f>
        <v>4</v>
      </c>
      <c r="M59" s="31" t="s">
        <v>84</v>
      </c>
    </row>
    <row r="60" spans="2:13" ht="15" customHeight="1" x14ac:dyDescent="0.3">
      <c r="B60" s="36" t="s">
        <v>85</v>
      </c>
      <c r="C60" s="26">
        <f>COUNTIF('API Test Cases'!C:C,"GRAD-301 · GET /billers")</f>
        <v>6</v>
      </c>
      <c r="D60" s="26">
        <f>COUNTIFS('API Test Cases'!C:C,"GRAD-301 · GET /billers",'API Test Cases'!M:M,"Automation")</f>
        <v>5</v>
      </c>
      <c r="E60" s="26">
        <f>COUNTIFS('API Test Cases'!C:C,"GRAD-301 · GET /billers",'API Test Cases'!M:M,"Manual")</f>
        <v>1</v>
      </c>
      <c r="F60" s="26">
        <f>COUNTIFS('API Test Cases'!C:C,"GRAD-301 · GET /billers",'API Test Cases'!K:K,"PASS ✓")</f>
        <v>6</v>
      </c>
      <c r="G60" s="26">
        <f>COUNTIFS('API Test Cases'!C:C,"GRAD-301 · GET /billers",'API Test Cases'!K:K,"FAIL ✗")</f>
        <v>0</v>
      </c>
      <c r="H60" s="26">
        <f>COUNTIFS('API Test Cases'!C:C,"GRAD-301 · GET /billers",'API Test Cases'!K:K,"Blocked")</f>
        <v>0</v>
      </c>
      <c r="I60" s="30">
        <f t="shared" si="3"/>
        <v>1</v>
      </c>
      <c r="J60" s="26">
        <f>COUNTIFS('API Test Cases'!C:C,"GRAD-301 · GET /billers",'API Test Cases'!D:D,"Highest")+COUNTIFS('API Test Cases'!C:C,"GRAD-301 · GET /billers",'API Test Cases'!D:D,"High")</f>
        <v>0</v>
      </c>
      <c r="M60" s="31" t="s">
        <v>86</v>
      </c>
    </row>
    <row r="61" spans="2:13" ht="15" customHeight="1" x14ac:dyDescent="0.3">
      <c r="B61" s="36" t="s">
        <v>87</v>
      </c>
      <c r="C61" s="26">
        <f>COUNTIF('API Test Cases'!C:C,"GRAD-302 · POST /bill-payments")</f>
        <v>35</v>
      </c>
      <c r="D61" s="26">
        <f>COUNTIFS('API Test Cases'!C:C,"GRAD-302 · POST /bill-payments",'API Test Cases'!M:M,"Automation")</f>
        <v>32</v>
      </c>
      <c r="E61" s="26">
        <f>COUNTIFS('API Test Cases'!C:C,"GRAD-302 · POST /bill-payments",'API Test Cases'!M:M,"Manual")</f>
        <v>3</v>
      </c>
      <c r="F61" s="26">
        <f>COUNTIFS('API Test Cases'!C:C,"GRAD-302 · POST /bill-payments",'API Test Cases'!K:K,"PASS ✓")</f>
        <v>35</v>
      </c>
      <c r="G61" s="26">
        <f>COUNTIFS('API Test Cases'!C:C,"GRAD-302 · POST /bill-payments",'API Test Cases'!K:K,"FAIL ✗")</f>
        <v>0</v>
      </c>
      <c r="H61" s="26">
        <f>COUNTIFS('API Test Cases'!C:C,"GRAD-302 · POST /bill-payments",'API Test Cases'!K:K,"Blocked")</f>
        <v>0</v>
      </c>
      <c r="I61" s="30">
        <f t="shared" si="3"/>
        <v>1</v>
      </c>
      <c r="J61" s="26">
        <f>COUNTIFS('API Test Cases'!C:C,"GRAD-302 · POST /bill-payments",'API Test Cases'!D:D,"Highest")+COUNTIFS('API Test Cases'!C:C,"GRAD-302 · POST /bill-payments",'API Test Cases'!D:D,"High")</f>
        <v>22</v>
      </c>
      <c r="M61" s="31" t="s">
        <v>88</v>
      </c>
    </row>
    <row r="62" spans="2:13" ht="15" customHeight="1" x14ac:dyDescent="0.3">
      <c r="B62" s="36" t="s">
        <v>89</v>
      </c>
      <c r="C62" s="26">
        <f>COUNTIF('API Test Cases'!C:C,"GRAD-303 · GET /bill-payments")</f>
        <v>15</v>
      </c>
      <c r="D62" s="26">
        <f>COUNTIFS('API Test Cases'!C:C,"GRAD-303 · GET /bill-payments",'API Test Cases'!M:M,"Automation")</f>
        <v>13</v>
      </c>
      <c r="E62" s="26">
        <f>COUNTIFS('API Test Cases'!C:C,"GRAD-303 · GET /bill-payments",'API Test Cases'!M:M,"Manual")</f>
        <v>2</v>
      </c>
      <c r="F62" s="26">
        <f>COUNTIFS('API Test Cases'!C:C,"GRAD-303 · GET /bill-payments",'API Test Cases'!K:K,"PASS ✓")</f>
        <v>15</v>
      </c>
      <c r="G62" s="26">
        <f>COUNTIFS('API Test Cases'!C:C,"GRAD-303 · GET /bill-payments",'API Test Cases'!K:K,"FAIL ✗")</f>
        <v>0</v>
      </c>
      <c r="H62" s="26">
        <f>COUNTIFS('API Test Cases'!C:C,"GRAD-303 · GET /bill-payments",'API Test Cases'!K:K,"Blocked")</f>
        <v>0</v>
      </c>
      <c r="I62" s="30">
        <f t="shared" si="3"/>
        <v>1</v>
      </c>
      <c r="J62" s="26">
        <f>COUNTIFS('API Test Cases'!C:C,"GRAD-303 · GET /bill-payments",'API Test Cases'!D:D,"Highest")+COUNTIFS('API Test Cases'!C:C,"GRAD-303 · GET /bill-payments",'API Test Cases'!D:D,"High")</f>
        <v>1</v>
      </c>
      <c r="M62" s="31" t="s">
        <v>90</v>
      </c>
    </row>
    <row r="63" spans="2:13" ht="15" customHeight="1" x14ac:dyDescent="0.3">
      <c r="B63" s="36" t="s">
        <v>91</v>
      </c>
      <c r="C63" s="26">
        <f>COUNTIF('API Test Cases'!C:C,"Ümumi qaydalar (auth, sandbox, rate limit)")</f>
        <v>5</v>
      </c>
      <c r="D63" s="26">
        <f>COUNTIFS('API Test Cases'!C:C,"Ümumi qaydalar (auth, sandbox, rate limit)",'API Test Cases'!M:M,"Automation")</f>
        <v>4</v>
      </c>
      <c r="E63" s="26">
        <f>COUNTIFS('API Test Cases'!C:C,"Ümumi qaydalar (auth, sandbox, rate limit)",'API Test Cases'!M:M,"Manual")</f>
        <v>1</v>
      </c>
      <c r="F63" s="26">
        <f>COUNTIFS('API Test Cases'!C:C,"Ümumi qaydalar (auth, sandbox, rate limit)",'API Test Cases'!K:K,"PASS ✓")</f>
        <v>4</v>
      </c>
      <c r="G63" s="26">
        <f>COUNTIFS('API Test Cases'!C:C,"Ümumi qaydalar (auth, sandbox, rate limit)",'API Test Cases'!K:K,"FAIL ✗")</f>
        <v>0</v>
      </c>
      <c r="H63" s="26">
        <f>COUNTIFS('API Test Cases'!C:C,"Ümumi qaydalar (auth, sandbox, rate limit)",'API Test Cases'!K:K,"Blocked")</f>
        <v>1</v>
      </c>
      <c r="I63" s="30">
        <f t="shared" si="3"/>
        <v>1</v>
      </c>
      <c r="J63" s="26">
        <f>COUNTIFS('API Test Cases'!C:C,"Ümumi qaydalar (auth, sandbox, rate limit)",'API Test Cases'!D:D,"Highest")+COUNTIFS('API Test Cases'!C:C,"Ümumi qaydalar (auth, sandbox, rate limit)",'API Test Cases'!D:D,"High")</f>
        <v>2</v>
      </c>
      <c r="M63" s="31" t="s">
        <v>43</v>
      </c>
    </row>
    <row r="64" spans="2:13" ht="15" customHeight="1" x14ac:dyDescent="0.3">
      <c r="B64" s="32" t="s">
        <v>13</v>
      </c>
      <c r="C64" s="33">
        <f t="shared" ref="C64:H64" si="4">SUM(C53:C63)</f>
        <v>169</v>
      </c>
      <c r="D64" s="33">
        <f t="shared" si="4"/>
        <v>156</v>
      </c>
      <c r="E64" s="33">
        <f t="shared" si="4"/>
        <v>13</v>
      </c>
      <c r="F64" s="33">
        <f t="shared" si="4"/>
        <v>168</v>
      </c>
      <c r="G64" s="33">
        <f t="shared" si="4"/>
        <v>0</v>
      </c>
      <c r="H64" s="33">
        <f t="shared" si="4"/>
        <v>1</v>
      </c>
      <c r="I64" s="34">
        <f t="shared" si="3"/>
        <v>1</v>
      </c>
      <c r="J64" s="33">
        <f>SUM(J53:J63)</f>
        <v>73</v>
      </c>
    </row>
    <row r="65" spans="2:2" ht="15" customHeight="1" x14ac:dyDescent="0.3">
      <c r="B65" s="35" t="s">
        <v>92</v>
      </c>
    </row>
    <row r="84" spans="2:11" ht="15.75" customHeight="1" x14ac:dyDescent="0.35">
      <c r="B84" s="17" t="s">
        <v>93</v>
      </c>
      <c r="C84" s="18"/>
      <c r="D84" s="18"/>
      <c r="E84" s="18"/>
      <c r="F84" s="18"/>
      <c r="G84" s="18"/>
      <c r="H84" s="18"/>
      <c r="I84" s="18"/>
      <c r="J84" s="18"/>
      <c r="K84" s="18"/>
    </row>
    <row r="85" spans="2:11" ht="15" customHeight="1" x14ac:dyDescent="0.3">
      <c r="B85" s="24" t="s">
        <v>94</v>
      </c>
      <c r="C85" s="24" t="s">
        <v>95</v>
      </c>
      <c r="D85" s="24" t="s">
        <v>96</v>
      </c>
      <c r="E85" s="24" t="s">
        <v>97</v>
      </c>
      <c r="F85" s="24" t="s">
        <v>98</v>
      </c>
      <c r="G85" s="24" t="s">
        <v>99</v>
      </c>
      <c r="H85" s="24" t="s">
        <v>100</v>
      </c>
      <c r="I85" s="3" t="s">
        <v>101</v>
      </c>
      <c r="J85" s="3"/>
      <c r="K85" s="3"/>
    </row>
    <row r="86" spans="2:11" ht="30" customHeight="1" x14ac:dyDescent="0.3">
      <c r="B86" s="36" t="s">
        <v>102</v>
      </c>
      <c r="C86" s="26" t="s">
        <v>103</v>
      </c>
      <c r="D86" s="26" t="s">
        <v>104</v>
      </c>
      <c r="E86" s="26">
        <v>161</v>
      </c>
      <c r="F86" s="26">
        <v>161</v>
      </c>
      <c r="G86" s="26">
        <v>0</v>
      </c>
      <c r="H86" s="27" t="s">
        <v>105</v>
      </c>
      <c r="I86" s="2"/>
      <c r="J86" s="2"/>
      <c r="K86" s="2"/>
    </row>
    <row r="87" spans="2:11" ht="30" customHeight="1" x14ac:dyDescent="0.3">
      <c r="B87" s="36" t="s">
        <v>102</v>
      </c>
      <c r="C87" s="26" t="s">
        <v>103</v>
      </c>
      <c r="D87" s="26" t="s">
        <v>106</v>
      </c>
      <c r="E87" s="26">
        <v>161</v>
      </c>
      <c r="F87" s="26">
        <v>161</v>
      </c>
      <c r="G87" s="26">
        <v>0</v>
      </c>
      <c r="H87" s="27" t="s">
        <v>105</v>
      </c>
      <c r="I87" s="2"/>
      <c r="J87" s="2"/>
      <c r="K87" s="2"/>
    </row>
    <row r="88" spans="2:11" ht="30" customHeight="1" x14ac:dyDescent="0.3">
      <c r="B88" s="36" t="s">
        <v>102</v>
      </c>
      <c r="C88" s="26" t="s">
        <v>103</v>
      </c>
      <c r="D88" s="26" t="s">
        <v>107</v>
      </c>
      <c r="E88" s="26">
        <v>161</v>
      </c>
      <c r="F88" s="26">
        <v>161</v>
      </c>
      <c r="G88" s="26">
        <v>0</v>
      </c>
      <c r="H88" s="27" t="s">
        <v>105</v>
      </c>
      <c r="I88" s="2" t="s">
        <v>108</v>
      </c>
      <c r="J88" s="2"/>
      <c r="K88" s="2"/>
    </row>
    <row r="89" spans="2:11" ht="30" customHeight="1" x14ac:dyDescent="0.3">
      <c r="B89" s="36" t="s">
        <v>109</v>
      </c>
      <c r="C89" s="26" t="s">
        <v>103</v>
      </c>
      <c r="D89" s="26" t="s">
        <v>110</v>
      </c>
      <c r="E89" s="26">
        <v>29</v>
      </c>
      <c r="F89" s="26">
        <v>29</v>
      </c>
      <c r="G89" s="26">
        <v>0</v>
      </c>
      <c r="H89" s="27" t="s">
        <v>105</v>
      </c>
      <c r="I89" s="2" t="s">
        <v>111</v>
      </c>
      <c r="J89" s="2"/>
      <c r="K89" s="2"/>
    </row>
    <row r="90" spans="2:11" ht="30" customHeight="1" x14ac:dyDescent="0.3">
      <c r="B90" s="36" t="s">
        <v>109</v>
      </c>
      <c r="C90" s="26" t="s">
        <v>103</v>
      </c>
      <c r="D90" s="26" t="s">
        <v>112</v>
      </c>
      <c r="E90" s="26">
        <v>29</v>
      </c>
      <c r="F90" s="26">
        <v>28</v>
      </c>
      <c r="G90" s="26">
        <v>1</v>
      </c>
      <c r="H90" s="29" t="s">
        <v>113</v>
      </c>
      <c r="I90" s="2" t="s">
        <v>114</v>
      </c>
      <c r="J90" s="2"/>
      <c r="K90" s="2"/>
    </row>
    <row r="91" spans="2:11" ht="30" customHeight="1" x14ac:dyDescent="0.3">
      <c r="B91" s="36" t="s">
        <v>115</v>
      </c>
      <c r="C91" s="26" t="s">
        <v>103</v>
      </c>
      <c r="D91" s="26" t="s">
        <v>116</v>
      </c>
      <c r="E91" s="26">
        <v>75</v>
      </c>
      <c r="F91" s="26">
        <v>75</v>
      </c>
      <c r="G91" s="26">
        <v>0</v>
      </c>
      <c r="H91" s="27" t="s">
        <v>105</v>
      </c>
      <c r="I91" s="2" t="s">
        <v>117</v>
      </c>
      <c r="J91" s="2"/>
      <c r="K91" s="2"/>
    </row>
    <row r="92" spans="2:11" ht="15" customHeight="1" x14ac:dyDescent="0.3">
      <c r="B92" s="35" t="s">
        <v>118</v>
      </c>
    </row>
    <row r="94" spans="2:11" ht="15.75" customHeight="1" x14ac:dyDescent="0.35">
      <c r="B94" s="17" t="s">
        <v>119</v>
      </c>
      <c r="C94" s="18"/>
      <c r="D94" s="18"/>
      <c r="E94" s="18"/>
      <c r="F94" s="18"/>
      <c r="G94" s="18"/>
      <c r="H94" s="18"/>
      <c r="I94" s="18"/>
      <c r="J94" s="18"/>
      <c r="K94" s="18"/>
    </row>
    <row r="95" spans="2:11" ht="15" customHeight="1" x14ac:dyDescent="0.3">
      <c r="B95" s="24" t="s">
        <v>120</v>
      </c>
      <c r="C95" s="24" t="s">
        <v>121</v>
      </c>
      <c r="D95" s="24" t="s">
        <v>122</v>
      </c>
      <c r="E95" s="24" t="s">
        <v>123</v>
      </c>
      <c r="F95" s="24" t="s">
        <v>3</v>
      </c>
      <c r="G95" s="24" t="s">
        <v>124</v>
      </c>
      <c r="H95" s="3" t="s">
        <v>125</v>
      </c>
      <c r="I95" s="3"/>
      <c r="J95" s="3"/>
      <c r="K95" s="3"/>
    </row>
    <row r="96" spans="2:11" ht="45" customHeight="1" x14ac:dyDescent="0.3">
      <c r="B96" s="37" t="str">
        <f>Tapıntılar!A2</f>
        <v>UYG-001</v>
      </c>
      <c r="C96" s="26" t="str">
        <f>Tapıntılar!P2</f>
        <v>Uyğunsuzluq</v>
      </c>
      <c r="D96" s="26" t="str">
        <f>Tapıntılar!D2</f>
        <v>Minor</v>
      </c>
      <c r="E96" s="26" t="str">
        <f>Tapıntılar!E2</f>
        <v>Low</v>
      </c>
      <c r="F96" s="26" t="str">
        <f>Tapıntılar!F2</f>
        <v>TC-FLTR-024</v>
      </c>
      <c r="G96" s="26" t="str">
        <f>Tapıntılar!O2</f>
        <v>New</v>
      </c>
      <c r="H96" s="2" t="str">
        <f>Tapıntılar!B2</f>
        <v>Əlavə filtrlər: "Vuruğu yoxdur" və "Yalnız qəzalı avtomobillər" eyni anda seçilə bilir; nəticədə vuruğu olan avtomobillər göstərilir (filtrlər bir-birinə uyğun işləmir)</v>
      </c>
      <c r="I96" s="2"/>
      <c r="J96" s="2"/>
      <c r="K96" s="2"/>
    </row>
    <row r="97" spans="2:11" ht="45" customHeight="1" x14ac:dyDescent="0.3">
      <c r="B97" s="37" t="str">
        <f>Tapıntılar!A3</f>
        <v>UYG-002</v>
      </c>
      <c r="C97" s="26" t="str">
        <f>Tapıntılar!P3</f>
        <v>Uyğunsuzluq</v>
      </c>
      <c r="D97" s="26" t="str">
        <f>Tapıntılar!D3</f>
        <v>Major</v>
      </c>
      <c r="E97" s="26" t="str">
        <f>Tapıntılar!E3</f>
        <v>Medium</v>
      </c>
      <c r="F97" s="26" t="str">
        <f>Tapıntılar!F3</f>
        <v>TC-NEWAD-012</v>
      </c>
      <c r="G97" s="26" t="str">
        <f>Tapıntılar!O3</f>
        <v>New</v>
      </c>
      <c r="H97" s="2" t="str">
        <f>Tapıntılar!B3</f>
        <v>Yeni elan: təsvir sahəsinə 3000 simvoldan uzun mətn yapışdırıldıqda artıq hissə xəbərdarlıq edilmədən silinir</v>
      </c>
      <c r="I97" s="2"/>
      <c r="J97" s="2"/>
      <c r="K97" s="2"/>
    </row>
    <row r="98" spans="2:11" ht="45" customHeight="1" x14ac:dyDescent="0.3">
      <c r="B98" s="37" t="str">
        <f>Tapıntılar!A4</f>
        <v>UYG-003</v>
      </c>
      <c r="C98" s="26" t="str">
        <f>Tapıntılar!P4</f>
        <v>Uyğunsuzluq</v>
      </c>
      <c r="D98" s="26" t="str">
        <f>Tapıntılar!D4</f>
        <v>Minor</v>
      </c>
      <c r="E98" s="26" t="str">
        <f>Tapıntılar!E4</f>
        <v>Low</v>
      </c>
      <c r="F98" s="26" t="str">
        <f>Tapıntılar!F4</f>
        <v>TC-PRICE-012</v>
      </c>
      <c r="G98" s="26" t="str">
        <f>Tapıntılar!O4</f>
        <v>New</v>
      </c>
      <c r="H98" s="2" t="str">
        <f>Tapıntılar!B4</f>
        <v>Qiymət filtri: onluq ayırıcı (nöqtə/vergül) qəbul edilmir, amma istifadəçiyə bu barədə məlumat verilmir</v>
      </c>
      <c r="I98" s="2"/>
      <c r="J98" s="2"/>
      <c r="K98" s="2"/>
    </row>
    <row r="99" spans="2:11" ht="15" customHeight="1" x14ac:dyDescent="0.3">
      <c r="B99" s="32" t="s">
        <v>126</v>
      </c>
      <c r="C99" s="38" t="str">
        <f>"Critical: "&amp;COUNTIF(Tapıntılar!D:D,"Critical")</f>
        <v>Critical: 0</v>
      </c>
      <c r="D99" s="38" t="str">
        <f>"Major: "&amp;COUNTIF(Tapıntılar!D:D,"Major")</f>
        <v>Major: 1</v>
      </c>
      <c r="E99" s="38" t="str">
        <f>"Minor: "&amp;COUNTIF(Tapıntılar!D:D,"Minor")</f>
        <v>Minor: 2</v>
      </c>
      <c r="F99" s="38" t="str">
        <f>"Trivial: "&amp;COUNTIF(Tapıntılar!D:D,"Trivial")</f>
        <v>Trivial: 0</v>
      </c>
    </row>
    <row r="101" spans="2:11" ht="15.75" customHeight="1" x14ac:dyDescent="0.35">
      <c r="B101" s="17" t="s">
        <v>127</v>
      </c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2:11" ht="31.5" customHeight="1" x14ac:dyDescent="0.3">
      <c r="B102" s="1" t="s">
        <v>128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2:11" ht="31.5" customHeight="1" x14ac:dyDescent="0.3">
      <c r="B103" s="1" t="s">
        <v>129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2:11" ht="31.5" customHeight="1" x14ac:dyDescent="0.3">
      <c r="B104" s="1" t="s">
        <v>130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2:11" ht="31.5" customHeight="1" x14ac:dyDescent="0.3">
      <c r="B105" s="1" t="s">
        <v>131</v>
      </c>
      <c r="C105" s="1"/>
      <c r="D105" s="1"/>
      <c r="E105" s="1"/>
      <c r="F105" s="1"/>
      <c r="G105" s="1"/>
      <c r="H105" s="1"/>
      <c r="I105" s="1"/>
      <c r="J105" s="1"/>
      <c r="K105" s="1"/>
    </row>
    <row r="106" spans="2:11" ht="31.5" customHeight="1" x14ac:dyDescent="0.3">
      <c r="B106" s="1" t="s">
        <v>132</v>
      </c>
      <c r="C106" s="1"/>
      <c r="D106" s="1"/>
      <c r="E106" s="1"/>
      <c r="F106" s="1"/>
      <c r="G106" s="1"/>
      <c r="H106" s="1"/>
      <c r="I106" s="1"/>
      <c r="J106" s="1"/>
      <c r="K106" s="1"/>
    </row>
  </sheetData>
  <mergeCells count="16">
    <mergeCell ref="B106:K106"/>
    <mergeCell ref="H98:K98"/>
    <mergeCell ref="B102:K102"/>
    <mergeCell ref="B103:K103"/>
    <mergeCell ref="B104:K104"/>
    <mergeCell ref="B105:K105"/>
    <mergeCell ref="I90:K90"/>
    <mergeCell ref="I91:K91"/>
    <mergeCell ref="H95:K95"/>
    <mergeCell ref="H96:K96"/>
    <mergeCell ref="H97:K97"/>
    <mergeCell ref="I85:K85"/>
    <mergeCell ref="I86:K86"/>
    <mergeCell ref="I87:K87"/>
    <mergeCell ref="I88:K88"/>
    <mergeCell ref="I89:K89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9"/>
  <sheetViews>
    <sheetView zoomScaleNormal="100" workbookViewId="0"/>
  </sheetViews>
  <sheetFormatPr defaultColWidth="8.6640625" defaultRowHeight="14.4" x14ac:dyDescent="0.3"/>
  <cols>
    <col min="1" max="1" width="11.6640625" customWidth="1"/>
    <col min="2" max="2" width="40.33203125" customWidth="1"/>
    <col min="3" max="3" width="18.6640625" customWidth="1"/>
    <col min="4" max="4" width="11.33203125" customWidth="1"/>
    <col min="5" max="5" width="16" customWidth="1"/>
    <col min="6" max="6" width="36.44140625" customWidth="1"/>
    <col min="7" max="7" width="51.88671875" customWidth="1"/>
    <col min="8" max="8" width="35.88671875" customWidth="1"/>
    <col min="9" max="9" width="43.109375" customWidth="1"/>
    <col min="10" max="10" width="40" customWidth="1"/>
    <col min="11" max="11" width="10.44140625" customWidth="1"/>
    <col min="12" max="12" width="10" customWidth="1"/>
    <col min="13" max="13" width="16" customWidth="1"/>
    <col min="14" max="14" width="12" customWidth="1"/>
    <col min="15" max="15" width="55" customWidth="1"/>
  </cols>
  <sheetData>
    <row r="1" spans="1:15" ht="15" customHeight="1" x14ac:dyDescent="0.3">
      <c r="A1" s="39" t="s">
        <v>133</v>
      </c>
      <c r="B1" s="40" t="s">
        <v>134</v>
      </c>
      <c r="C1" s="39" t="s">
        <v>135</v>
      </c>
      <c r="D1" s="39" t="s">
        <v>123</v>
      </c>
      <c r="E1" s="39" t="s">
        <v>136</v>
      </c>
      <c r="F1" s="39" t="s">
        <v>137</v>
      </c>
      <c r="G1" s="41" t="s">
        <v>138</v>
      </c>
      <c r="H1" s="39" t="s">
        <v>139</v>
      </c>
      <c r="I1" s="40" t="s">
        <v>140</v>
      </c>
      <c r="J1" s="40" t="s">
        <v>141</v>
      </c>
      <c r="K1" s="39" t="s">
        <v>124</v>
      </c>
      <c r="L1" s="39" t="s">
        <v>142</v>
      </c>
      <c r="M1" s="39" t="s">
        <v>143</v>
      </c>
      <c r="N1" s="39" t="s">
        <v>6</v>
      </c>
      <c r="O1" s="39" t="s">
        <v>144</v>
      </c>
    </row>
    <row r="2" spans="1:15" ht="41.25" customHeight="1" x14ac:dyDescent="0.3">
      <c r="A2" s="42" t="s">
        <v>145</v>
      </c>
      <c r="B2" s="43" t="s">
        <v>146</v>
      </c>
      <c r="C2" s="42" t="s">
        <v>54</v>
      </c>
      <c r="D2" s="42" t="s">
        <v>147</v>
      </c>
      <c r="E2" s="42" t="s">
        <v>148</v>
      </c>
      <c r="F2" s="43" t="s">
        <v>149</v>
      </c>
      <c r="G2" s="44" t="s">
        <v>150</v>
      </c>
      <c r="H2" s="42" t="s">
        <v>151</v>
      </c>
      <c r="I2" s="43" t="s">
        <v>152</v>
      </c>
      <c r="J2" s="45" t="s">
        <v>153</v>
      </c>
      <c r="K2" s="42" t="s">
        <v>7</v>
      </c>
      <c r="L2" s="42" t="s">
        <v>154</v>
      </c>
      <c r="M2" s="46" t="s">
        <v>4</v>
      </c>
      <c r="N2" s="46" t="s">
        <v>155</v>
      </c>
      <c r="O2" s="43" t="s">
        <v>156</v>
      </c>
    </row>
    <row r="3" spans="1:15" ht="41.25" customHeight="1" x14ac:dyDescent="0.3">
      <c r="A3" s="42" t="s">
        <v>157</v>
      </c>
      <c r="B3" s="43" t="s">
        <v>158</v>
      </c>
      <c r="C3" s="42" t="s">
        <v>54</v>
      </c>
      <c r="D3" s="42" t="s">
        <v>147</v>
      </c>
      <c r="E3" s="42" t="s">
        <v>148</v>
      </c>
      <c r="F3" s="43" t="s">
        <v>149</v>
      </c>
      <c r="G3" s="44" t="s">
        <v>159</v>
      </c>
      <c r="H3" s="42" t="s">
        <v>160</v>
      </c>
      <c r="I3" s="43" t="s">
        <v>161</v>
      </c>
      <c r="J3" s="45" t="s">
        <v>162</v>
      </c>
      <c r="K3" s="42" t="s">
        <v>7</v>
      </c>
      <c r="L3" s="42" t="s">
        <v>154</v>
      </c>
      <c r="M3" s="46" t="s">
        <v>4</v>
      </c>
      <c r="N3" s="46" t="s">
        <v>155</v>
      </c>
      <c r="O3" s="43" t="s">
        <v>163</v>
      </c>
    </row>
    <row r="4" spans="1:15" ht="54.75" customHeight="1" x14ac:dyDescent="0.3">
      <c r="A4" s="42" t="s">
        <v>164</v>
      </c>
      <c r="B4" s="43" t="s">
        <v>165</v>
      </c>
      <c r="C4" s="42" t="s">
        <v>54</v>
      </c>
      <c r="D4" s="42" t="s">
        <v>166</v>
      </c>
      <c r="E4" s="42" t="s">
        <v>148</v>
      </c>
      <c r="F4" s="43" t="s">
        <v>149</v>
      </c>
      <c r="G4" s="44" t="s">
        <v>167</v>
      </c>
      <c r="H4" s="42" t="s">
        <v>168</v>
      </c>
      <c r="I4" s="43" t="s">
        <v>169</v>
      </c>
      <c r="J4" s="45" t="s">
        <v>170</v>
      </c>
      <c r="K4" s="42" t="s">
        <v>7</v>
      </c>
      <c r="L4" s="42" t="s">
        <v>154</v>
      </c>
      <c r="M4" s="46" t="s">
        <v>4</v>
      </c>
      <c r="N4" s="46" t="s">
        <v>155</v>
      </c>
      <c r="O4" s="43" t="s">
        <v>171</v>
      </c>
    </row>
    <row r="5" spans="1:15" ht="41.25" customHeight="1" x14ac:dyDescent="0.3">
      <c r="A5" s="42" t="s">
        <v>172</v>
      </c>
      <c r="B5" s="43" t="s">
        <v>173</v>
      </c>
      <c r="C5" s="42" t="s">
        <v>54</v>
      </c>
      <c r="D5" s="42" t="s">
        <v>147</v>
      </c>
      <c r="E5" s="42" t="s">
        <v>148</v>
      </c>
      <c r="F5" s="43" t="s">
        <v>149</v>
      </c>
      <c r="G5" s="44" t="s">
        <v>174</v>
      </c>
      <c r="H5" s="42" t="s">
        <v>175</v>
      </c>
      <c r="I5" s="43" t="s">
        <v>176</v>
      </c>
      <c r="J5" s="45" t="s">
        <v>177</v>
      </c>
      <c r="K5" s="42" t="s">
        <v>7</v>
      </c>
      <c r="L5" s="42" t="s">
        <v>154</v>
      </c>
      <c r="M5" s="46" t="s">
        <v>4</v>
      </c>
      <c r="N5" s="46" t="s">
        <v>155</v>
      </c>
      <c r="O5" s="43" t="s">
        <v>178</v>
      </c>
    </row>
    <row r="6" spans="1:15" ht="54.75" customHeight="1" x14ac:dyDescent="0.3">
      <c r="A6" s="42" t="s">
        <v>179</v>
      </c>
      <c r="B6" s="43" t="s">
        <v>180</v>
      </c>
      <c r="C6" s="42" t="s">
        <v>54</v>
      </c>
      <c r="D6" s="42" t="s">
        <v>166</v>
      </c>
      <c r="E6" s="42" t="s">
        <v>148</v>
      </c>
      <c r="F6" s="43" t="s">
        <v>149</v>
      </c>
      <c r="G6" s="44" t="s">
        <v>181</v>
      </c>
      <c r="H6" s="42" t="s">
        <v>182</v>
      </c>
      <c r="I6" s="43" t="s">
        <v>183</v>
      </c>
      <c r="J6" s="45" t="s">
        <v>184</v>
      </c>
      <c r="K6" s="42" t="s">
        <v>7</v>
      </c>
      <c r="L6" s="42" t="s">
        <v>154</v>
      </c>
      <c r="M6" s="46" t="s">
        <v>4</v>
      </c>
      <c r="N6" s="46" t="s">
        <v>155</v>
      </c>
      <c r="O6" s="43" t="s">
        <v>185</v>
      </c>
    </row>
    <row r="7" spans="1:15" ht="41.25" customHeight="1" x14ac:dyDescent="0.3">
      <c r="A7" s="42" t="s">
        <v>186</v>
      </c>
      <c r="B7" s="43" t="s">
        <v>187</v>
      </c>
      <c r="C7" s="42" t="s">
        <v>54</v>
      </c>
      <c r="D7" s="42" t="s">
        <v>166</v>
      </c>
      <c r="E7" s="42" t="s">
        <v>148</v>
      </c>
      <c r="F7" s="43" t="s">
        <v>149</v>
      </c>
      <c r="G7" s="44" t="s">
        <v>188</v>
      </c>
      <c r="H7" s="42" t="s">
        <v>189</v>
      </c>
      <c r="I7" s="43" t="s">
        <v>190</v>
      </c>
      <c r="J7" s="45" t="s">
        <v>191</v>
      </c>
      <c r="K7" s="42" t="s">
        <v>7</v>
      </c>
      <c r="L7" s="42" t="s">
        <v>154</v>
      </c>
      <c r="M7" s="43" t="s">
        <v>5</v>
      </c>
      <c r="N7" s="43" t="s">
        <v>192</v>
      </c>
      <c r="O7" s="43" t="s">
        <v>193</v>
      </c>
    </row>
    <row r="8" spans="1:15" ht="54.75" customHeight="1" x14ac:dyDescent="0.3">
      <c r="A8" s="42" t="s">
        <v>194</v>
      </c>
      <c r="B8" s="43" t="s">
        <v>195</v>
      </c>
      <c r="C8" s="42" t="s">
        <v>54</v>
      </c>
      <c r="D8" s="42" t="s">
        <v>147</v>
      </c>
      <c r="E8" s="42" t="s">
        <v>148</v>
      </c>
      <c r="F8" s="43" t="s">
        <v>149</v>
      </c>
      <c r="G8" s="44" t="s">
        <v>196</v>
      </c>
      <c r="H8" s="42" t="s">
        <v>197</v>
      </c>
      <c r="I8" s="43" t="s">
        <v>198</v>
      </c>
      <c r="J8" s="45" t="s">
        <v>199</v>
      </c>
      <c r="K8" s="42" t="s">
        <v>7</v>
      </c>
      <c r="L8" s="42" t="s">
        <v>154</v>
      </c>
      <c r="M8" s="46" t="s">
        <v>4</v>
      </c>
      <c r="N8" s="46" t="s">
        <v>155</v>
      </c>
      <c r="O8" s="43" t="s">
        <v>200</v>
      </c>
    </row>
    <row r="9" spans="1:15" ht="54.75" customHeight="1" x14ac:dyDescent="0.3">
      <c r="A9" s="42" t="s">
        <v>201</v>
      </c>
      <c r="B9" s="43" t="s">
        <v>202</v>
      </c>
      <c r="C9" s="42" t="s">
        <v>54</v>
      </c>
      <c r="D9" s="42" t="s">
        <v>166</v>
      </c>
      <c r="E9" s="42" t="s">
        <v>203</v>
      </c>
      <c r="F9" s="43" t="s">
        <v>149</v>
      </c>
      <c r="G9" s="44" t="s">
        <v>204</v>
      </c>
      <c r="H9" s="42" t="s">
        <v>205</v>
      </c>
      <c r="I9" s="43" t="s">
        <v>206</v>
      </c>
      <c r="J9" s="45" t="s">
        <v>207</v>
      </c>
      <c r="K9" s="42" t="s">
        <v>7</v>
      </c>
      <c r="L9" s="42" t="s">
        <v>154</v>
      </c>
      <c r="M9" s="46" t="s">
        <v>4</v>
      </c>
      <c r="N9" s="46" t="s">
        <v>155</v>
      </c>
      <c r="O9" s="43" t="s">
        <v>208</v>
      </c>
    </row>
    <row r="10" spans="1:15" ht="54.75" customHeight="1" x14ac:dyDescent="0.3">
      <c r="A10" s="42" t="s">
        <v>209</v>
      </c>
      <c r="B10" s="43" t="s">
        <v>210</v>
      </c>
      <c r="C10" s="42" t="s">
        <v>54</v>
      </c>
      <c r="D10" s="42" t="s">
        <v>166</v>
      </c>
      <c r="E10" s="42" t="s">
        <v>148</v>
      </c>
      <c r="F10" s="43" t="s">
        <v>149</v>
      </c>
      <c r="G10" s="44" t="s">
        <v>211</v>
      </c>
      <c r="H10" s="42" t="s">
        <v>151</v>
      </c>
      <c r="I10" s="43" t="s">
        <v>212</v>
      </c>
      <c r="J10" s="45" t="s">
        <v>213</v>
      </c>
      <c r="K10" s="42" t="s">
        <v>7</v>
      </c>
      <c r="L10" s="42" t="s">
        <v>154</v>
      </c>
      <c r="M10" s="46" t="s">
        <v>4</v>
      </c>
      <c r="N10" s="46" t="s">
        <v>155</v>
      </c>
      <c r="O10" s="43" t="s">
        <v>214</v>
      </c>
    </row>
    <row r="11" spans="1:15" ht="41.25" customHeight="1" x14ac:dyDescent="0.3">
      <c r="A11" s="42" t="s">
        <v>215</v>
      </c>
      <c r="B11" s="43" t="s">
        <v>216</v>
      </c>
      <c r="C11" s="42" t="s">
        <v>54</v>
      </c>
      <c r="D11" s="42" t="s">
        <v>166</v>
      </c>
      <c r="E11" s="42" t="s">
        <v>148</v>
      </c>
      <c r="F11" s="43" t="s">
        <v>149</v>
      </c>
      <c r="G11" s="44" t="s">
        <v>217</v>
      </c>
      <c r="H11" s="42" t="s">
        <v>218</v>
      </c>
      <c r="I11" s="43" t="s">
        <v>219</v>
      </c>
      <c r="J11" s="45" t="s">
        <v>220</v>
      </c>
      <c r="K11" s="42" t="s">
        <v>7</v>
      </c>
      <c r="L11" s="42" t="s">
        <v>154</v>
      </c>
      <c r="M11" s="46" t="s">
        <v>4</v>
      </c>
      <c r="N11" s="46" t="s">
        <v>155</v>
      </c>
      <c r="O11" s="43" t="s">
        <v>221</v>
      </c>
    </row>
    <row r="12" spans="1:15" ht="54.75" customHeight="1" x14ac:dyDescent="0.3">
      <c r="A12" s="42" t="s">
        <v>222</v>
      </c>
      <c r="B12" s="43" t="s">
        <v>223</v>
      </c>
      <c r="C12" s="42" t="s">
        <v>54</v>
      </c>
      <c r="D12" s="42" t="s">
        <v>166</v>
      </c>
      <c r="E12" s="42" t="s">
        <v>148</v>
      </c>
      <c r="F12" s="43" t="s">
        <v>149</v>
      </c>
      <c r="G12" s="44" t="s">
        <v>224</v>
      </c>
      <c r="H12" s="42" t="s">
        <v>225</v>
      </c>
      <c r="I12" s="43" t="s">
        <v>226</v>
      </c>
      <c r="J12" s="45" t="s">
        <v>227</v>
      </c>
      <c r="K12" s="42" t="s">
        <v>7</v>
      </c>
      <c r="L12" s="42" t="s">
        <v>154</v>
      </c>
      <c r="M12" s="43" t="s">
        <v>5</v>
      </c>
      <c r="N12" s="43" t="s">
        <v>192</v>
      </c>
      <c r="O12" s="43" t="s">
        <v>228</v>
      </c>
    </row>
    <row r="13" spans="1:15" ht="41.25" customHeight="1" x14ac:dyDescent="0.3">
      <c r="A13" s="42" t="s">
        <v>229</v>
      </c>
      <c r="B13" s="43" t="s">
        <v>230</v>
      </c>
      <c r="C13" s="42" t="s">
        <v>54</v>
      </c>
      <c r="D13" s="42" t="s">
        <v>231</v>
      </c>
      <c r="E13" s="42" t="s">
        <v>148</v>
      </c>
      <c r="F13" s="43" t="s">
        <v>149</v>
      </c>
      <c r="G13" s="44" t="s">
        <v>232</v>
      </c>
      <c r="H13" s="42" t="s">
        <v>233</v>
      </c>
      <c r="I13" s="43" t="s">
        <v>234</v>
      </c>
      <c r="J13" s="45" t="s">
        <v>235</v>
      </c>
      <c r="K13" s="42" t="s">
        <v>7</v>
      </c>
      <c r="L13" s="42" t="s">
        <v>154</v>
      </c>
      <c r="M13" s="43" t="s">
        <v>5</v>
      </c>
      <c r="N13" s="43" t="s">
        <v>192</v>
      </c>
      <c r="O13" s="43" t="s">
        <v>236</v>
      </c>
    </row>
    <row r="14" spans="1:15" ht="54.75" customHeight="1" x14ac:dyDescent="0.3">
      <c r="A14" s="42" t="s">
        <v>237</v>
      </c>
      <c r="B14" s="43" t="s">
        <v>238</v>
      </c>
      <c r="C14" s="42" t="s">
        <v>54</v>
      </c>
      <c r="D14" s="42" t="s">
        <v>166</v>
      </c>
      <c r="E14" s="42" t="s">
        <v>148</v>
      </c>
      <c r="F14" s="43" t="s">
        <v>149</v>
      </c>
      <c r="G14" s="44" t="s">
        <v>239</v>
      </c>
      <c r="H14" s="42" t="s">
        <v>240</v>
      </c>
      <c r="I14" s="43" t="s">
        <v>241</v>
      </c>
      <c r="J14" s="45" t="s">
        <v>242</v>
      </c>
      <c r="K14" s="42" t="s">
        <v>7</v>
      </c>
      <c r="L14" s="42" t="s">
        <v>154</v>
      </c>
      <c r="M14" s="43" t="s">
        <v>5</v>
      </c>
      <c r="N14" s="43" t="s">
        <v>192</v>
      </c>
      <c r="O14" s="43" t="s">
        <v>243</v>
      </c>
    </row>
    <row r="15" spans="1:15" ht="41.25" customHeight="1" x14ac:dyDescent="0.3">
      <c r="A15" s="42" t="s">
        <v>244</v>
      </c>
      <c r="B15" s="43" t="s">
        <v>245</v>
      </c>
      <c r="C15" s="42" t="s">
        <v>54</v>
      </c>
      <c r="D15" s="42" t="s">
        <v>166</v>
      </c>
      <c r="E15" s="42" t="s">
        <v>148</v>
      </c>
      <c r="F15" s="43" t="s">
        <v>149</v>
      </c>
      <c r="G15" s="44" t="s">
        <v>246</v>
      </c>
      <c r="H15" s="42" t="s">
        <v>247</v>
      </c>
      <c r="I15" s="43" t="s">
        <v>248</v>
      </c>
      <c r="J15" s="45" t="s">
        <v>249</v>
      </c>
      <c r="K15" s="42" t="s">
        <v>7</v>
      </c>
      <c r="L15" s="42" t="s">
        <v>154</v>
      </c>
      <c r="M15" s="43" t="s">
        <v>5</v>
      </c>
      <c r="N15" s="43" t="s">
        <v>192</v>
      </c>
      <c r="O15" s="43" t="s">
        <v>236</v>
      </c>
    </row>
    <row r="16" spans="1:15" ht="54.75" customHeight="1" x14ac:dyDescent="0.3">
      <c r="A16" s="42" t="s">
        <v>250</v>
      </c>
      <c r="B16" s="43" t="s">
        <v>251</v>
      </c>
      <c r="C16" s="42" t="s">
        <v>55</v>
      </c>
      <c r="D16" s="42" t="s">
        <v>147</v>
      </c>
      <c r="E16" s="42" t="s">
        <v>148</v>
      </c>
      <c r="F16" s="43" t="s">
        <v>149</v>
      </c>
      <c r="G16" s="44" t="s">
        <v>252</v>
      </c>
      <c r="H16" s="42" t="s">
        <v>253</v>
      </c>
      <c r="I16" s="43" t="s">
        <v>254</v>
      </c>
      <c r="J16" s="45" t="s">
        <v>255</v>
      </c>
      <c r="K16" s="42" t="s">
        <v>7</v>
      </c>
      <c r="L16" s="42" t="s">
        <v>256</v>
      </c>
      <c r="M16" s="46" t="s">
        <v>4</v>
      </c>
      <c r="N16" s="46" t="s">
        <v>155</v>
      </c>
      <c r="O16" s="43" t="s">
        <v>257</v>
      </c>
    </row>
    <row r="17" spans="1:15" ht="41.25" customHeight="1" x14ac:dyDescent="0.3">
      <c r="A17" s="42" t="s">
        <v>258</v>
      </c>
      <c r="B17" s="43" t="s">
        <v>259</v>
      </c>
      <c r="C17" s="42" t="s">
        <v>55</v>
      </c>
      <c r="D17" s="42" t="s">
        <v>166</v>
      </c>
      <c r="E17" s="42" t="s">
        <v>148</v>
      </c>
      <c r="F17" s="43" t="s">
        <v>149</v>
      </c>
      <c r="G17" s="44" t="s">
        <v>260</v>
      </c>
      <c r="H17" s="42" t="s">
        <v>261</v>
      </c>
      <c r="I17" s="43" t="s">
        <v>262</v>
      </c>
      <c r="J17" s="45" t="s">
        <v>263</v>
      </c>
      <c r="K17" s="42" t="s">
        <v>7</v>
      </c>
      <c r="L17" s="42" t="s">
        <v>256</v>
      </c>
      <c r="M17" s="43" t="s">
        <v>5</v>
      </c>
      <c r="N17" s="43" t="s">
        <v>192</v>
      </c>
      <c r="O17" s="43" t="s">
        <v>264</v>
      </c>
    </row>
    <row r="18" spans="1:15" ht="41.25" customHeight="1" x14ac:dyDescent="0.3">
      <c r="A18" s="42" t="s">
        <v>265</v>
      </c>
      <c r="B18" s="43" t="s">
        <v>266</v>
      </c>
      <c r="C18" s="42" t="s">
        <v>55</v>
      </c>
      <c r="D18" s="42" t="s">
        <v>166</v>
      </c>
      <c r="E18" s="42" t="s">
        <v>148</v>
      </c>
      <c r="F18" s="43" t="s">
        <v>149</v>
      </c>
      <c r="G18" s="44" t="s">
        <v>267</v>
      </c>
      <c r="H18" s="42" t="s">
        <v>268</v>
      </c>
      <c r="I18" s="43" t="s">
        <v>269</v>
      </c>
      <c r="J18" s="45" t="s">
        <v>270</v>
      </c>
      <c r="K18" s="42" t="s">
        <v>7</v>
      </c>
      <c r="L18" s="42" t="s">
        <v>256</v>
      </c>
      <c r="M18" s="43" t="s">
        <v>5</v>
      </c>
      <c r="N18" s="43" t="s">
        <v>192</v>
      </c>
      <c r="O18" s="43" t="s">
        <v>264</v>
      </c>
    </row>
    <row r="19" spans="1:15" ht="41.25" customHeight="1" x14ac:dyDescent="0.3">
      <c r="A19" s="42" t="s">
        <v>271</v>
      </c>
      <c r="B19" s="43" t="s">
        <v>272</v>
      </c>
      <c r="C19" s="42" t="s">
        <v>55</v>
      </c>
      <c r="D19" s="42" t="s">
        <v>166</v>
      </c>
      <c r="E19" s="42" t="s">
        <v>273</v>
      </c>
      <c r="F19" s="43" t="s">
        <v>149</v>
      </c>
      <c r="G19" s="44" t="s">
        <v>274</v>
      </c>
      <c r="H19" s="42" t="s">
        <v>275</v>
      </c>
      <c r="I19" s="43" t="s">
        <v>276</v>
      </c>
      <c r="J19" s="45" t="s">
        <v>277</v>
      </c>
      <c r="K19" s="42" t="s">
        <v>7</v>
      </c>
      <c r="L19" s="42" t="s">
        <v>256</v>
      </c>
      <c r="M19" s="46" t="s">
        <v>4</v>
      </c>
      <c r="N19" s="46" t="s">
        <v>155</v>
      </c>
      <c r="O19" s="43" t="s">
        <v>278</v>
      </c>
    </row>
    <row r="20" spans="1:15" ht="54.75" customHeight="1" x14ac:dyDescent="0.3">
      <c r="A20" s="42" t="s">
        <v>279</v>
      </c>
      <c r="B20" s="43" t="s">
        <v>280</v>
      </c>
      <c r="C20" s="42" t="s">
        <v>55</v>
      </c>
      <c r="D20" s="42" t="s">
        <v>147</v>
      </c>
      <c r="E20" s="42" t="s">
        <v>203</v>
      </c>
      <c r="F20" s="43" t="s">
        <v>149</v>
      </c>
      <c r="G20" s="44" t="s">
        <v>281</v>
      </c>
      <c r="H20" s="42" t="s">
        <v>282</v>
      </c>
      <c r="I20" s="43" t="s">
        <v>283</v>
      </c>
      <c r="J20" s="45" t="s">
        <v>284</v>
      </c>
      <c r="K20" s="42" t="s">
        <v>7</v>
      </c>
      <c r="L20" s="42" t="s">
        <v>256</v>
      </c>
      <c r="M20" s="43" t="s">
        <v>5</v>
      </c>
      <c r="N20" s="43" t="s">
        <v>192</v>
      </c>
      <c r="O20" s="43" t="s">
        <v>285</v>
      </c>
    </row>
    <row r="21" spans="1:15" ht="27.75" customHeight="1" x14ac:dyDescent="0.3">
      <c r="A21" s="42" t="s">
        <v>286</v>
      </c>
      <c r="B21" s="43" t="s">
        <v>287</v>
      </c>
      <c r="C21" s="42" t="s">
        <v>55</v>
      </c>
      <c r="D21" s="42" t="s">
        <v>166</v>
      </c>
      <c r="E21" s="42" t="s">
        <v>203</v>
      </c>
      <c r="F21" s="43" t="s">
        <v>149</v>
      </c>
      <c r="G21" s="44" t="s">
        <v>288</v>
      </c>
      <c r="H21" s="42" t="s">
        <v>289</v>
      </c>
      <c r="I21" s="43" t="s">
        <v>290</v>
      </c>
      <c r="J21" s="45" t="s">
        <v>291</v>
      </c>
      <c r="K21" s="42" t="s">
        <v>7</v>
      </c>
      <c r="L21" s="42" t="s">
        <v>256</v>
      </c>
      <c r="M21" s="46" t="s">
        <v>4</v>
      </c>
      <c r="N21" s="46" t="s">
        <v>155</v>
      </c>
      <c r="O21" s="43" t="s">
        <v>292</v>
      </c>
    </row>
    <row r="22" spans="1:15" ht="27.75" customHeight="1" x14ac:dyDescent="0.3">
      <c r="A22" s="42" t="s">
        <v>293</v>
      </c>
      <c r="B22" s="43" t="s">
        <v>294</v>
      </c>
      <c r="C22" s="42" t="s">
        <v>55</v>
      </c>
      <c r="D22" s="42" t="s">
        <v>166</v>
      </c>
      <c r="E22" s="42" t="s">
        <v>203</v>
      </c>
      <c r="F22" s="43" t="s">
        <v>149</v>
      </c>
      <c r="G22" s="44" t="s">
        <v>295</v>
      </c>
      <c r="H22" s="42" t="s">
        <v>296</v>
      </c>
      <c r="I22" s="43" t="s">
        <v>297</v>
      </c>
      <c r="J22" s="45" t="s">
        <v>298</v>
      </c>
      <c r="K22" s="42" t="s">
        <v>7</v>
      </c>
      <c r="L22" s="42" t="s">
        <v>256</v>
      </c>
      <c r="M22" s="46" t="s">
        <v>4</v>
      </c>
      <c r="N22" s="46" t="s">
        <v>155</v>
      </c>
      <c r="O22" s="43" t="s">
        <v>299</v>
      </c>
    </row>
    <row r="23" spans="1:15" ht="41.25" customHeight="1" x14ac:dyDescent="0.3">
      <c r="A23" s="42" t="s">
        <v>300</v>
      </c>
      <c r="B23" s="43" t="s">
        <v>301</v>
      </c>
      <c r="C23" s="42" t="s">
        <v>55</v>
      </c>
      <c r="D23" s="42" t="s">
        <v>231</v>
      </c>
      <c r="E23" s="42" t="s">
        <v>203</v>
      </c>
      <c r="F23" s="43" t="s">
        <v>149</v>
      </c>
      <c r="G23" s="44" t="s">
        <v>302</v>
      </c>
      <c r="H23" s="42" t="s">
        <v>303</v>
      </c>
      <c r="I23" s="43" t="s">
        <v>304</v>
      </c>
      <c r="J23" s="45" t="s">
        <v>305</v>
      </c>
      <c r="K23" s="42" t="s">
        <v>7</v>
      </c>
      <c r="L23" s="42" t="s">
        <v>256</v>
      </c>
      <c r="M23" s="43" t="s">
        <v>5</v>
      </c>
      <c r="N23" s="43" t="s">
        <v>192</v>
      </c>
      <c r="O23" s="43" t="s">
        <v>306</v>
      </c>
    </row>
    <row r="24" spans="1:15" ht="54.75" customHeight="1" x14ac:dyDescent="0.3">
      <c r="A24" s="42" t="s">
        <v>307</v>
      </c>
      <c r="B24" s="43" t="s">
        <v>308</v>
      </c>
      <c r="C24" s="42" t="s">
        <v>55</v>
      </c>
      <c r="D24" s="42" t="s">
        <v>166</v>
      </c>
      <c r="E24" s="42" t="s">
        <v>148</v>
      </c>
      <c r="F24" s="43" t="s">
        <v>149</v>
      </c>
      <c r="G24" s="44" t="s">
        <v>309</v>
      </c>
      <c r="H24" s="42" t="s">
        <v>310</v>
      </c>
      <c r="I24" s="43" t="s">
        <v>311</v>
      </c>
      <c r="J24" s="45" t="s">
        <v>312</v>
      </c>
      <c r="K24" s="42" t="s">
        <v>7</v>
      </c>
      <c r="L24" s="42" t="s">
        <v>256</v>
      </c>
      <c r="M24" s="43" t="s">
        <v>5</v>
      </c>
      <c r="N24" s="43" t="s">
        <v>192</v>
      </c>
      <c r="O24" s="43" t="s">
        <v>313</v>
      </c>
    </row>
    <row r="25" spans="1:15" ht="54.75" customHeight="1" x14ac:dyDescent="0.3">
      <c r="A25" s="42" t="s">
        <v>314</v>
      </c>
      <c r="B25" s="43" t="s">
        <v>315</v>
      </c>
      <c r="C25" s="42" t="s">
        <v>55</v>
      </c>
      <c r="D25" s="42" t="s">
        <v>231</v>
      </c>
      <c r="E25" s="42" t="s">
        <v>273</v>
      </c>
      <c r="F25" s="43" t="s">
        <v>149</v>
      </c>
      <c r="G25" s="44" t="s">
        <v>316</v>
      </c>
      <c r="H25" s="42" t="s">
        <v>317</v>
      </c>
      <c r="I25" s="43" t="s">
        <v>318</v>
      </c>
      <c r="J25" s="45" t="s">
        <v>319</v>
      </c>
      <c r="K25" s="42" t="s">
        <v>7</v>
      </c>
      <c r="L25" s="42" t="s">
        <v>256</v>
      </c>
      <c r="M25" s="43" t="s">
        <v>5</v>
      </c>
      <c r="N25" s="43" t="s">
        <v>192</v>
      </c>
      <c r="O25" s="43" t="s">
        <v>320</v>
      </c>
    </row>
    <row r="26" spans="1:15" ht="81.75" customHeight="1" x14ac:dyDescent="0.3">
      <c r="A26" s="42" t="s">
        <v>321</v>
      </c>
      <c r="B26" s="43" t="s">
        <v>322</v>
      </c>
      <c r="C26" s="42" t="s">
        <v>55</v>
      </c>
      <c r="D26" s="42" t="s">
        <v>166</v>
      </c>
      <c r="E26" s="42" t="s">
        <v>203</v>
      </c>
      <c r="F26" s="43" t="s">
        <v>149</v>
      </c>
      <c r="G26" s="44" t="s">
        <v>323</v>
      </c>
      <c r="H26" s="42" t="s">
        <v>324</v>
      </c>
      <c r="I26" s="43" t="s">
        <v>325</v>
      </c>
      <c r="J26" s="45" t="s">
        <v>326</v>
      </c>
      <c r="K26" s="42" t="s">
        <v>7</v>
      </c>
      <c r="L26" s="42" t="s">
        <v>256</v>
      </c>
      <c r="M26" s="43" t="s">
        <v>5</v>
      </c>
      <c r="N26" s="43" t="s">
        <v>192</v>
      </c>
      <c r="O26" s="43" t="s">
        <v>327</v>
      </c>
    </row>
    <row r="27" spans="1:15" ht="41.25" customHeight="1" x14ac:dyDescent="0.3">
      <c r="A27" s="42" t="s">
        <v>328</v>
      </c>
      <c r="B27" s="43" t="s">
        <v>329</v>
      </c>
      <c r="C27" s="42" t="s">
        <v>55</v>
      </c>
      <c r="D27" s="42" t="s">
        <v>166</v>
      </c>
      <c r="E27" s="42" t="s">
        <v>148</v>
      </c>
      <c r="F27" s="43" t="s">
        <v>149</v>
      </c>
      <c r="G27" s="44" t="s">
        <v>330</v>
      </c>
      <c r="H27" s="42" t="s">
        <v>331</v>
      </c>
      <c r="I27" s="43" t="s">
        <v>332</v>
      </c>
      <c r="J27" s="45" t="s">
        <v>333</v>
      </c>
      <c r="K27" s="42" t="s">
        <v>7</v>
      </c>
      <c r="L27" s="42" t="s">
        <v>256</v>
      </c>
      <c r="M27" s="43" t="s">
        <v>5</v>
      </c>
      <c r="N27" s="43" t="s">
        <v>192</v>
      </c>
      <c r="O27" s="43" t="s">
        <v>334</v>
      </c>
    </row>
    <row r="28" spans="1:15" ht="54.75" customHeight="1" x14ac:dyDescent="0.3">
      <c r="A28" s="42" t="s">
        <v>335</v>
      </c>
      <c r="B28" s="43" t="s">
        <v>336</v>
      </c>
      <c r="C28" s="42" t="s">
        <v>55</v>
      </c>
      <c r="D28" s="42" t="s">
        <v>231</v>
      </c>
      <c r="E28" s="42" t="s">
        <v>148</v>
      </c>
      <c r="F28" s="43" t="s">
        <v>149</v>
      </c>
      <c r="G28" s="44" t="s">
        <v>337</v>
      </c>
      <c r="H28" s="42" t="s">
        <v>338</v>
      </c>
      <c r="I28" s="43" t="s">
        <v>339</v>
      </c>
      <c r="J28" s="45" t="s">
        <v>340</v>
      </c>
      <c r="K28" s="42" t="s">
        <v>7</v>
      </c>
      <c r="L28" s="42" t="s">
        <v>256</v>
      </c>
      <c r="M28" s="43" t="s">
        <v>5</v>
      </c>
      <c r="N28" s="43" t="s">
        <v>192</v>
      </c>
      <c r="O28" s="43" t="s">
        <v>341</v>
      </c>
    </row>
    <row r="29" spans="1:15" ht="54.75" customHeight="1" x14ac:dyDescent="0.3">
      <c r="A29" s="42" t="s">
        <v>342</v>
      </c>
      <c r="B29" s="43" t="s">
        <v>343</v>
      </c>
      <c r="C29" s="42" t="s">
        <v>56</v>
      </c>
      <c r="D29" s="42" t="s">
        <v>147</v>
      </c>
      <c r="E29" s="42" t="s">
        <v>148</v>
      </c>
      <c r="F29" s="43" t="s">
        <v>149</v>
      </c>
      <c r="G29" s="44" t="s">
        <v>344</v>
      </c>
      <c r="H29" s="42" t="s">
        <v>345</v>
      </c>
      <c r="I29" s="43" t="s">
        <v>346</v>
      </c>
      <c r="J29" s="45" t="s">
        <v>347</v>
      </c>
      <c r="K29" s="42" t="s">
        <v>7</v>
      </c>
      <c r="L29" s="42" t="s">
        <v>348</v>
      </c>
      <c r="M29" s="46" t="s">
        <v>4</v>
      </c>
      <c r="N29" s="46" t="s">
        <v>155</v>
      </c>
      <c r="O29" s="43" t="s">
        <v>349</v>
      </c>
    </row>
    <row r="30" spans="1:15" ht="41.25" customHeight="1" x14ac:dyDescent="0.3">
      <c r="A30" s="42" t="s">
        <v>350</v>
      </c>
      <c r="B30" s="43" t="s">
        <v>351</v>
      </c>
      <c r="C30" s="42" t="s">
        <v>56</v>
      </c>
      <c r="D30" s="42" t="s">
        <v>166</v>
      </c>
      <c r="E30" s="42" t="s">
        <v>273</v>
      </c>
      <c r="F30" s="43" t="s">
        <v>149</v>
      </c>
      <c r="G30" s="44" t="s">
        <v>352</v>
      </c>
      <c r="H30" s="42" t="s">
        <v>353</v>
      </c>
      <c r="I30" s="43" t="s">
        <v>354</v>
      </c>
      <c r="J30" s="45" t="s">
        <v>355</v>
      </c>
      <c r="K30" s="42" t="s">
        <v>7</v>
      </c>
      <c r="L30" s="42" t="s">
        <v>348</v>
      </c>
      <c r="M30" s="43" t="s">
        <v>5</v>
      </c>
      <c r="N30" s="43" t="s">
        <v>192</v>
      </c>
      <c r="O30" s="43" t="s">
        <v>356</v>
      </c>
    </row>
    <row r="31" spans="1:15" ht="41.25" customHeight="1" x14ac:dyDescent="0.3">
      <c r="A31" s="42" t="s">
        <v>357</v>
      </c>
      <c r="B31" s="43" t="s">
        <v>358</v>
      </c>
      <c r="C31" s="42" t="s">
        <v>56</v>
      </c>
      <c r="D31" s="42" t="s">
        <v>231</v>
      </c>
      <c r="E31" s="42" t="s">
        <v>273</v>
      </c>
      <c r="F31" s="43" t="s">
        <v>149</v>
      </c>
      <c r="G31" s="44" t="s">
        <v>359</v>
      </c>
      <c r="H31" s="42" t="s">
        <v>360</v>
      </c>
      <c r="I31" s="43" t="s">
        <v>361</v>
      </c>
      <c r="J31" s="45" t="s">
        <v>362</v>
      </c>
      <c r="K31" s="42" t="s">
        <v>7</v>
      </c>
      <c r="L31" s="42" t="s">
        <v>348</v>
      </c>
      <c r="M31" s="43" t="s">
        <v>5</v>
      </c>
      <c r="N31" s="43" t="s">
        <v>192</v>
      </c>
      <c r="O31" s="43" t="s">
        <v>363</v>
      </c>
    </row>
    <row r="32" spans="1:15" ht="54.75" customHeight="1" x14ac:dyDescent="0.3">
      <c r="A32" s="42" t="s">
        <v>364</v>
      </c>
      <c r="B32" s="43" t="s">
        <v>365</v>
      </c>
      <c r="C32" s="42" t="s">
        <v>56</v>
      </c>
      <c r="D32" s="42" t="s">
        <v>166</v>
      </c>
      <c r="E32" s="42" t="s">
        <v>203</v>
      </c>
      <c r="F32" s="43" t="s">
        <v>149</v>
      </c>
      <c r="G32" s="44" t="s">
        <v>366</v>
      </c>
      <c r="H32" s="42" t="s">
        <v>367</v>
      </c>
      <c r="I32" s="43" t="s">
        <v>368</v>
      </c>
      <c r="J32" s="45" t="s">
        <v>369</v>
      </c>
      <c r="K32" s="42" t="s">
        <v>7</v>
      </c>
      <c r="L32" s="42" t="s">
        <v>348</v>
      </c>
      <c r="M32" s="43" t="s">
        <v>5</v>
      </c>
      <c r="N32" s="43" t="s">
        <v>192</v>
      </c>
      <c r="O32" s="43" t="s">
        <v>370</v>
      </c>
    </row>
    <row r="33" spans="1:15" ht="41.25" customHeight="1" x14ac:dyDescent="0.3">
      <c r="A33" s="42" t="s">
        <v>371</v>
      </c>
      <c r="B33" s="43" t="s">
        <v>372</v>
      </c>
      <c r="C33" s="42" t="s">
        <v>56</v>
      </c>
      <c r="D33" s="42" t="s">
        <v>166</v>
      </c>
      <c r="E33" s="42" t="s">
        <v>148</v>
      </c>
      <c r="F33" s="43" t="s">
        <v>149</v>
      </c>
      <c r="G33" s="44" t="s">
        <v>373</v>
      </c>
      <c r="H33" s="42" t="s">
        <v>374</v>
      </c>
      <c r="I33" s="43" t="s">
        <v>375</v>
      </c>
      <c r="J33" s="45" t="s">
        <v>376</v>
      </c>
      <c r="K33" s="42" t="s">
        <v>7</v>
      </c>
      <c r="L33" s="42" t="s">
        <v>348</v>
      </c>
      <c r="M33" s="43" t="s">
        <v>5</v>
      </c>
      <c r="N33" s="43" t="s">
        <v>192</v>
      </c>
      <c r="O33" s="43" t="s">
        <v>377</v>
      </c>
    </row>
    <row r="34" spans="1:15" ht="41.25" customHeight="1" x14ac:dyDescent="0.3">
      <c r="A34" s="42" t="s">
        <v>378</v>
      </c>
      <c r="B34" s="43" t="s">
        <v>379</v>
      </c>
      <c r="C34" s="42" t="s">
        <v>56</v>
      </c>
      <c r="D34" s="42" t="s">
        <v>166</v>
      </c>
      <c r="E34" s="42" t="s">
        <v>148</v>
      </c>
      <c r="F34" s="43" t="s">
        <v>149</v>
      </c>
      <c r="G34" s="44" t="s">
        <v>380</v>
      </c>
      <c r="H34" s="42" t="s">
        <v>381</v>
      </c>
      <c r="I34" s="43" t="s">
        <v>382</v>
      </c>
      <c r="J34" s="45" t="s">
        <v>383</v>
      </c>
      <c r="K34" s="42" t="s">
        <v>7</v>
      </c>
      <c r="L34" s="42" t="s">
        <v>348</v>
      </c>
      <c r="M34" s="43" t="s">
        <v>5</v>
      </c>
      <c r="N34" s="43" t="s">
        <v>192</v>
      </c>
      <c r="O34" s="43" t="s">
        <v>377</v>
      </c>
    </row>
    <row r="35" spans="1:15" ht="54.75" customHeight="1" x14ac:dyDescent="0.3">
      <c r="A35" s="42" t="s">
        <v>384</v>
      </c>
      <c r="B35" s="43" t="s">
        <v>385</v>
      </c>
      <c r="C35" s="42" t="s">
        <v>56</v>
      </c>
      <c r="D35" s="42" t="s">
        <v>231</v>
      </c>
      <c r="E35" s="42" t="s">
        <v>273</v>
      </c>
      <c r="F35" s="43" t="s">
        <v>149</v>
      </c>
      <c r="G35" s="44" t="s">
        <v>386</v>
      </c>
      <c r="H35" s="42" t="s">
        <v>387</v>
      </c>
      <c r="I35" s="43" t="s">
        <v>388</v>
      </c>
      <c r="J35" s="45" t="s">
        <v>389</v>
      </c>
      <c r="K35" s="42" t="s">
        <v>7</v>
      </c>
      <c r="L35" s="42" t="s">
        <v>348</v>
      </c>
      <c r="M35" s="43" t="s">
        <v>5</v>
      </c>
      <c r="N35" s="43" t="s">
        <v>192</v>
      </c>
      <c r="O35" s="43" t="s">
        <v>236</v>
      </c>
    </row>
    <row r="36" spans="1:15" ht="41.25" customHeight="1" x14ac:dyDescent="0.3">
      <c r="A36" s="42" t="s">
        <v>390</v>
      </c>
      <c r="B36" s="43" t="s">
        <v>391</v>
      </c>
      <c r="C36" s="42" t="s">
        <v>56</v>
      </c>
      <c r="D36" s="42" t="s">
        <v>231</v>
      </c>
      <c r="E36" s="42" t="s">
        <v>66</v>
      </c>
      <c r="F36" s="43" t="s">
        <v>149</v>
      </c>
      <c r="G36" s="44" t="s">
        <v>392</v>
      </c>
      <c r="H36" s="42" t="s">
        <v>393</v>
      </c>
      <c r="I36" s="43" t="s">
        <v>394</v>
      </c>
      <c r="J36" s="45" t="s">
        <v>395</v>
      </c>
      <c r="K36" s="42" t="s">
        <v>7</v>
      </c>
      <c r="L36" s="42" t="s">
        <v>348</v>
      </c>
      <c r="M36" s="43" t="s">
        <v>5</v>
      </c>
      <c r="N36" s="43" t="s">
        <v>192</v>
      </c>
      <c r="O36" s="43" t="s">
        <v>396</v>
      </c>
    </row>
    <row r="37" spans="1:15" ht="68.25" customHeight="1" x14ac:dyDescent="0.3">
      <c r="A37" s="42" t="s">
        <v>397</v>
      </c>
      <c r="B37" s="43" t="s">
        <v>398</v>
      </c>
      <c r="C37" s="42" t="s">
        <v>57</v>
      </c>
      <c r="D37" s="42" t="s">
        <v>166</v>
      </c>
      <c r="E37" s="42" t="s">
        <v>148</v>
      </c>
      <c r="F37" s="43" t="s">
        <v>149</v>
      </c>
      <c r="G37" s="44" t="s">
        <v>399</v>
      </c>
      <c r="H37" s="42" t="s">
        <v>400</v>
      </c>
      <c r="I37" s="43" t="s">
        <v>401</v>
      </c>
      <c r="J37" s="45" t="s">
        <v>402</v>
      </c>
      <c r="K37" s="42" t="s">
        <v>7</v>
      </c>
      <c r="L37" s="42" t="s">
        <v>403</v>
      </c>
      <c r="M37" s="46" t="s">
        <v>4</v>
      </c>
      <c r="N37" s="46" t="s">
        <v>155</v>
      </c>
      <c r="O37" s="43" t="s">
        <v>404</v>
      </c>
    </row>
    <row r="38" spans="1:15" ht="54.75" customHeight="1" x14ac:dyDescent="0.3">
      <c r="A38" s="42" t="s">
        <v>405</v>
      </c>
      <c r="B38" s="43" t="s">
        <v>406</v>
      </c>
      <c r="C38" s="42" t="s">
        <v>57</v>
      </c>
      <c r="D38" s="42" t="s">
        <v>166</v>
      </c>
      <c r="E38" s="42" t="s">
        <v>148</v>
      </c>
      <c r="F38" s="43" t="s">
        <v>149</v>
      </c>
      <c r="G38" s="44" t="s">
        <v>407</v>
      </c>
      <c r="H38" s="42" t="s">
        <v>408</v>
      </c>
      <c r="I38" s="43" t="s">
        <v>409</v>
      </c>
      <c r="J38" s="45" t="s">
        <v>410</v>
      </c>
      <c r="K38" s="42" t="s">
        <v>7</v>
      </c>
      <c r="L38" s="42" t="s">
        <v>403</v>
      </c>
      <c r="M38" s="43" t="s">
        <v>5</v>
      </c>
      <c r="N38" s="43" t="s">
        <v>192</v>
      </c>
      <c r="O38" s="43" t="s">
        <v>411</v>
      </c>
    </row>
    <row r="39" spans="1:15" ht="54.75" customHeight="1" x14ac:dyDescent="0.3">
      <c r="A39" s="42" t="s">
        <v>412</v>
      </c>
      <c r="B39" s="43" t="s">
        <v>413</v>
      </c>
      <c r="C39" s="42" t="s">
        <v>57</v>
      </c>
      <c r="D39" s="42" t="s">
        <v>231</v>
      </c>
      <c r="E39" s="42" t="s">
        <v>148</v>
      </c>
      <c r="F39" s="43" t="s">
        <v>149</v>
      </c>
      <c r="G39" s="44" t="s">
        <v>414</v>
      </c>
      <c r="H39" s="42" t="s">
        <v>415</v>
      </c>
      <c r="I39" s="43" t="s">
        <v>416</v>
      </c>
      <c r="J39" s="45" t="s">
        <v>417</v>
      </c>
      <c r="K39" s="42" t="s">
        <v>7</v>
      </c>
      <c r="L39" s="42" t="s">
        <v>403</v>
      </c>
      <c r="M39" s="43" t="s">
        <v>5</v>
      </c>
      <c r="N39" s="43" t="s">
        <v>192</v>
      </c>
      <c r="O39" s="43" t="s">
        <v>418</v>
      </c>
    </row>
    <row r="40" spans="1:15" ht="54.75" customHeight="1" x14ac:dyDescent="0.3">
      <c r="A40" s="42" t="s">
        <v>419</v>
      </c>
      <c r="B40" s="43" t="s">
        <v>420</v>
      </c>
      <c r="C40" s="42" t="s">
        <v>57</v>
      </c>
      <c r="D40" s="42" t="s">
        <v>166</v>
      </c>
      <c r="E40" s="42" t="s">
        <v>148</v>
      </c>
      <c r="F40" s="43" t="s">
        <v>149</v>
      </c>
      <c r="G40" s="44" t="s">
        <v>421</v>
      </c>
      <c r="H40" s="42" t="s">
        <v>422</v>
      </c>
      <c r="I40" s="43" t="s">
        <v>423</v>
      </c>
      <c r="J40" s="45" t="s">
        <v>424</v>
      </c>
      <c r="K40" s="42" t="s">
        <v>7</v>
      </c>
      <c r="L40" s="42" t="s">
        <v>403</v>
      </c>
      <c r="M40" s="46" t="s">
        <v>4</v>
      </c>
      <c r="N40" s="46" t="s">
        <v>155</v>
      </c>
      <c r="O40" s="43" t="s">
        <v>425</v>
      </c>
    </row>
    <row r="41" spans="1:15" ht="41.25" customHeight="1" x14ac:dyDescent="0.3">
      <c r="A41" s="42" t="s">
        <v>426</v>
      </c>
      <c r="B41" s="43" t="s">
        <v>427</v>
      </c>
      <c r="C41" s="42" t="s">
        <v>57</v>
      </c>
      <c r="D41" s="42" t="s">
        <v>231</v>
      </c>
      <c r="E41" s="42" t="s">
        <v>203</v>
      </c>
      <c r="F41" s="43" t="s">
        <v>149</v>
      </c>
      <c r="G41" s="44" t="s">
        <v>428</v>
      </c>
      <c r="H41" s="42" t="s">
        <v>429</v>
      </c>
      <c r="I41" s="43" t="s">
        <v>430</v>
      </c>
      <c r="J41" s="45" t="s">
        <v>431</v>
      </c>
      <c r="K41" s="42" t="s">
        <v>7</v>
      </c>
      <c r="L41" s="42" t="s">
        <v>403</v>
      </c>
      <c r="M41" s="43" t="s">
        <v>5</v>
      </c>
      <c r="N41" s="43" t="s">
        <v>192</v>
      </c>
      <c r="O41" s="43" t="s">
        <v>432</v>
      </c>
    </row>
    <row r="42" spans="1:15" ht="41.25" customHeight="1" x14ac:dyDescent="0.3">
      <c r="A42" s="42" t="s">
        <v>433</v>
      </c>
      <c r="B42" s="43" t="s">
        <v>434</v>
      </c>
      <c r="C42" s="42" t="s">
        <v>57</v>
      </c>
      <c r="D42" s="42" t="s">
        <v>166</v>
      </c>
      <c r="E42" s="42" t="s">
        <v>148</v>
      </c>
      <c r="F42" s="43" t="s">
        <v>149</v>
      </c>
      <c r="G42" s="44" t="s">
        <v>435</v>
      </c>
      <c r="H42" s="42" t="s">
        <v>436</v>
      </c>
      <c r="I42" s="43" t="s">
        <v>437</v>
      </c>
      <c r="J42" s="45" t="s">
        <v>438</v>
      </c>
      <c r="K42" s="42" t="s">
        <v>7</v>
      </c>
      <c r="L42" s="42" t="s">
        <v>403</v>
      </c>
      <c r="M42" s="46" t="s">
        <v>4</v>
      </c>
      <c r="N42" s="46" t="s">
        <v>155</v>
      </c>
      <c r="O42" s="43" t="s">
        <v>439</v>
      </c>
    </row>
    <row r="43" spans="1:15" ht="41.25" customHeight="1" x14ac:dyDescent="0.3">
      <c r="A43" s="42" t="s">
        <v>440</v>
      </c>
      <c r="B43" s="43" t="s">
        <v>441</v>
      </c>
      <c r="C43" s="42" t="s">
        <v>57</v>
      </c>
      <c r="D43" s="42" t="s">
        <v>231</v>
      </c>
      <c r="E43" s="42" t="s">
        <v>148</v>
      </c>
      <c r="F43" s="43" t="s">
        <v>149</v>
      </c>
      <c r="G43" s="44" t="s">
        <v>442</v>
      </c>
      <c r="H43" s="42" t="s">
        <v>443</v>
      </c>
      <c r="I43" s="43" t="s">
        <v>444</v>
      </c>
      <c r="J43" s="45" t="s">
        <v>445</v>
      </c>
      <c r="K43" s="42" t="s">
        <v>7</v>
      </c>
      <c r="L43" s="42" t="s">
        <v>403</v>
      </c>
      <c r="M43" s="43" t="s">
        <v>5</v>
      </c>
      <c r="N43" s="43" t="s">
        <v>192</v>
      </c>
      <c r="O43" s="43" t="s">
        <v>446</v>
      </c>
    </row>
    <row r="44" spans="1:15" ht="41.25" customHeight="1" x14ac:dyDescent="0.3">
      <c r="A44" s="42" t="s">
        <v>447</v>
      </c>
      <c r="B44" s="43" t="s">
        <v>448</v>
      </c>
      <c r="C44" s="42" t="s">
        <v>57</v>
      </c>
      <c r="D44" s="42" t="s">
        <v>231</v>
      </c>
      <c r="E44" s="42" t="s">
        <v>66</v>
      </c>
      <c r="F44" s="43" t="s">
        <v>149</v>
      </c>
      <c r="G44" s="44" t="s">
        <v>449</v>
      </c>
      <c r="H44" s="42" t="s">
        <v>450</v>
      </c>
      <c r="I44" s="43" t="s">
        <v>451</v>
      </c>
      <c r="J44" s="45" t="s">
        <v>452</v>
      </c>
      <c r="K44" s="42" t="s">
        <v>7</v>
      </c>
      <c r="L44" s="42" t="s">
        <v>403</v>
      </c>
      <c r="M44" s="43" t="s">
        <v>5</v>
      </c>
      <c r="N44" s="43" t="s">
        <v>192</v>
      </c>
      <c r="O44" s="43" t="s">
        <v>453</v>
      </c>
    </row>
    <row r="45" spans="1:15" ht="54.75" customHeight="1" x14ac:dyDescent="0.3">
      <c r="A45" s="42" t="s">
        <v>454</v>
      </c>
      <c r="B45" s="43" t="s">
        <v>455</v>
      </c>
      <c r="C45" s="42" t="s">
        <v>57</v>
      </c>
      <c r="D45" s="42" t="s">
        <v>166</v>
      </c>
      <c r="E45" s="42" t="s">
        <v>148</v>
      </c>
      <c r="F45" s="43" t="s">
        <v>149</v>
      </c>
      <c r="G45" s="44" t="s">
        <v>456</v>
      </c>
      <c r="H45" s="42" t="s">
        <v>457</v>
      </c>
      <c r="I45" s="43" t="s">
        <v>458</v>
      </c>
      <c r="J45" s="45" t="s">
        <v>459</v>
      </c>
      <c r="K45" s="42" t="s">
        <v>7</v>
      </c>
      <c r="L45" s="42" t="s">
        <v>403</v>
      </c>
      <c r="M45" s="43" t="s">
        <v>5</v>
      </c>
      <c r="N45" s="43" t="s">
        <v>192</v>
      </c>
      <c r="O45" s="43" t="s">
        <v>460</v>
      </c>
    </row>
    <row r="46" spans="1:15" ht="54.75" customHeight="1" x14ac:dyDescent="0.3">
      <c r="A46" s="42" t="s">
        <v>461</v>
      </c>
      <c r="B46" s="43" t="s">
        <v>462</v>
      </c>
      <c r="C46" s="42" t="s">
        <v>57</v>
      </c>
      <c r="D46" s="42" t="s">
        <v>231</v>
      </c>
      <c r="E46" s="42" t="s">
        <v>148</v>
      </c>
      <c r="F46" s="43" t="s">
        <v>149</v>
      </c>
      <c r="G46" s="44" t="s">
        <v>463</v>
      </c>
      <c r="H46" s="42" t="s">
        <v>464</v>
      </c>
      <c r="I46" s="43" t="s">
        <v>465</v>
      </c>
      <c r="J46" s="45" t="s">
        <v>466</v>
      </c>
      <c r="K46" s="42" t="s">
        <v>7</v>
      </c>
      <c r="L46" s="42" t="s">
        <v>403</v>
      </c>
      <c r="M46" s="43" t="s">
        <v>5</v>
      </c>
      <c r="N46" s="43" t="s">
        <v>192</v>
      </c>
      <c r="O46" s="43" t="s">
        <v>467</v>
      </c>
    </row>
    <row r="47" spans="1:15" ht="41.25" customHeight="1" x14ac:dyDescent="0.3">
      <c r="A47" s="42" t="s">
        <v>468</v>
      </c>
      <c r="B47" s="43" t="s">
        <v>469</v>
      </c>
      <c r="C47" s="42" t="s">
        <v>57</v>
      </c>
      <c r="D47" s="42" t="s">
        <v>231</v>
      </c>
      <c r="E47" s="42" t="s">
        <v>148</v>
      </c>
      <c r="F47" s="43" t="s">
        <v>470</v>
      </c>
      <c r="G47" s="44" t="s">
        <v>471</v>
      </c>
      <c r="H47" s="42" t="s">
        <v>472</v>
      </c>
      <c r="I47" s="43" t="s">
        <v>473</v>
      </c>
      <c r="J47" s="45" t="s">
        <v>474</v>
      </c>
      <c r="K47" s="42" t="s">
        <v>7</v>
      </c>
      <c r="L47" s="42" t="s">
        <v>403</v>
      </c>
      <c r="M47" s="43" t="s">
        <v>5</v>
      </c>
      <c r="N47" s="43" t="s">
        <v>192</v>
      </c>
      <c r="O47" s="43" t="s">
        <v>475</v>
      </c>
    </row>
    <row r="48" spans="1:15" ht="41.25" customHeight="1" x14ac:dyDescent="0.3">
      <c r="A48" s="42" t="s">
        <v>476</v>
      </c>
      <c r="B48" s="43" t="s">
        <v>477</v>
      </c>
      <c r="C48" s="42" t="s">
        <v>57</v>
      </c>
      <c r="D48" s="42" t="s">
        <v>166</v>
      </c>
      <c r="E48" s="42" t="s">
        <v>148</v>
      </c>
      <c r="F48" s="43" t="s">
        <v>470</v>
      </c>
      <c r="G48" s="44" t="s">
        <v>478</v>
      </c>
      <c r="H48" s="42" t="s">
        <v>479</v>
      </c>
      <c r="I48" s="43" t="s">
        <v>480</v>
      </c>
      <c r="J48" s="45" t="s">
        <v>481</v>
      </c>
      <c r="K48" s="42" t="s">
        <v>7</v>
      </c>
      <c r="L48" s="42" t="s">
        <v>403</v>
      </c>
      <c r="M48" s="46" t="s">
        <v>4</v>
      </c>
      <c r="N48" s="46" t="s">
        <v>155</v>
      </c>
      <c r="O48" s="43" t="s">
        <v>482</v>
      </c>
    </row>
    <row r="49" spans="1:15" ht="41.25" customHeight="1" x14ac:dyDescent="0.3">
      <c r="A49" s="42" t="s">
        <v>483</v>
      </c>
      <c r="B49" s="43" t="s">
        <v>484</v>
      </c>
      <c r="C49" s="42" t="s">
        <v>57</v>
      </c>
      <c r="D49" s="42" t="s">
        <v>231</v>
      </c>
      <c r="E49" s="42" t="s">
        <v>203</v>
      </c>
      <c r="F49" s="43" t="s">
        <v>470</v>
      </c>
      <c r="G49" s="44" t="s">
        <v>485</v>
      </c>
      <c r="H49" s="42" t="s">
        <v>486</v>
      </c>
      <c r="I49" s="43" t="s">
        <v>487</v>
      </c>
      <c r="J49" s="45" t="s">
        <v>488</v>
      </c>
      <c r="K49" s="42" t="s">
        <v>7</v>
      </c>
      <c r="L49" s="42" t="s">
        <v>403</v>
      </c>
      <c r="M49" s="43" t="s">
        <v>5</v>
      </c>
      <c r="N49" s="43" t="s">
        <v>192</v>
      </c>
      <c r="O49" s="43" t="s">
        <v>327</v>
      </c>
    </row>
    <row r="50" spans="1:15" ht="41.25" customHeight="1" x14ac:dyDescent="0.3">
      <c r="A50" s="42" t="s">
        <v>489</v>
      </c>
      <c r="B50" s="43" t="s">
        <v>490</v>
      </c>
      <c r="C50" s="42" t="s">
        <v>57</v>
      </c>
      <c r="D50" s="42" t="s">
        <v>231</v>
      </c>
      <c r="E50" s="42" t="s">
        <v>148</v>
      </c>
      <c r="F50" s="43" t="s">
        <v>470</v>
      </c>
      <c r="G50" s="44" t="s">
        <v>491</v>
      </c>
      <c r="H50" s="42" t="s">
        <v>492</v>
      </c>
      <c r="I50" s="43" t="s">
        <v>493</v>
      </c>
      <c r="J50" s="45" t="s">
        <v>494</v>
      </c>
      <c r="K50" s="42" t="s">
        <v>7</v>
      </c>
      <c r="L50" s="42" t="s">
        <v>403</v>
      </c>
      <c r="M50" s="43" t="s">
        <v>5</v>
      </c>
      <c r="N50" s="43" t="s">
        <v>192</v>
      </c>
      <c r="O50" s="43" t="s">
        <v>475</v>
      </c>
    </row>
    <row r="51" spans="1:15" ht="41.25" customHeight="1" x14ac:dyDescent="0.3">
      <c r="A51" s="42" t="s">
        <v>495</v>
      </c>
      <c r="B51" s="43" t="s">
        <v>496</v>
      </c>
      <c r="C51" s="42" t="s">
        <v>57</v>
      </c>
      <c r="D51" s="42" t="s">
        <v>231</v>
      </c>
      <c r="E51" s="42" t="s">
        <v>203</v>
      </c>
      <c r="F51" s="43" t="s">
        <v>470</v>
      </c>
      <c r="G51" s="44" t="s">
        <v>497</v>
      </c>
      <c r="H51" s="42" t="s">
        <v>498</v>
      </c>
      <c r="I51" s="43" t="s">
        <v>430</v>
      </c>
      <c r="J51" s="45" t="s">
        <v>431</v>
      </c>
      <c r="K51" s="42" t="s">
        <v>7</v>
      </c>
      <c r="L51" s="42" t="s">
        <v>403</v>
      </c>
      <c r="M51" s="43" t="s">
        <v>5</v>
      </c>
      <c r="N51" s="43" t="s">
        <v>192</v>
      </c>
      <c r="O51" s="43" t="s">
        <v>499</v>
      </c>
    </row>
    <row r="52" spans="1:15" ht="41.25" customHeight="1" x14ac:dyDescent="0.3">
      <c r="A52" s="42" t="s">
        <v>500</v>
      </c>
      <c r="B52" s="43" t="s">
        <v>501</v>
      </c>
      <c r="C52" s="42" t="s">
        <v>57</v>
      </c>
      <c r="D52" s="42" t="s">
        <v>231</v>
      </c>
      <c r="E52" s="42" t="s">
        <v>203</v>
      </c>
      <c r="F52" s="43" t="s">
        <v>470</v>
      </c>
      <c r="G52" s="44" t="s">
        <v>502</v>
      </c>
      <c r="H52" s="42" t="s">
        <v>503</v>
      </c>
      <c r="I52" s="43" t="s">
        <v>487</v>
      </c>
      <c r="J52" s="45" t="s">
        <v>488</v>
      </c>
      <c r="K52" s="42" t="s">
        <v>7</v>
      </c>
      <c r="L52" s="42" t="s">
        <v>403</v>
      </c>
      <c r="M52" s="43" t="s">
        <v>5</v>
      </c>
      <c r="N52" s="43" t="s">
        <v>192</v>
      </c>
      <c r="O52" s="43" t="s">
        <v>327</v>
      </c>
    </row>
    <row r="53" spans="1:15" ht="41.25" customHeight="1" x14ac:dyDescent="0.3">
      <c r="A53" s="42" t="s">
        <v>504</v>
      </c>
      <c r="B53" s="43" t="s">
        <v>505</v>
      </c>
      <c r="C53" s="42" t="s">
        <v>57</v>
      </c>
      <c r="D53" s="42" t="s">
        <v>166</v>
      </c>
      <c r="E53" s="42" t="s">
        <v>273</v>
      </c>
      <c r="F53" s="43" t="s">
        <v>470</v>
      </c>
      <c r="G53" s="44" t="s">
        <v>506</v>
      </c>
      <c r="H53" s="42" t="s">
        <v>507</v>
      </c>
      <c r="I53" s="43" t="s">
        <v>508</v>
      </c>
      <c r="J53" s="45" t="s">
        <v>509</v>
      </c>
      <c r="K53" s="42" t="s">
        <v>7</v>
      </c>
      <c r="L53" s="42" t="s">
        <v>403</v>
      </c>
      <c r="M53" s="43" t="s">
        <v>5</v>
      </c>
      <c r="N53" s="43" t="s">
        <v>192</v>
      </c>
      <c r="O53" s="43" t="s">
        <v>499</v>
      </c>
    </row>
    <row r="54" spans="1:15" ht="41.25" customHeight="1" x14ac:dyDescent="0.3">
      <c r="A54" s="42" t="s">
        <v>510</v>
      </c>
      <c r="B54" s="43" t="s">
        <v>511</v>
      </c>
      <c r="C54" s="42" t="s">
        <v>57</v>
      </c>
      <c r="D54" s="42" t="s">
        <v>231</v>
      </c>
      <c r="E54" s="42" t="s">
        <v>148</v>
      </c>
      <c r="F54" s="43" t="s">
        <v>470</v>
      </c>
      <c r="G54" s="44" t="s">
        <v>512</v>
      </c>
      <c r="H54" s="42" t="s">
        <v>513</v>
      </c>
      <c r="I54" s="43" t="s">
        <v>514</v>
      </c>
      <c r="J54" s="45" t="s">
        <v>515</v>
      </c>
      <c r="K54" s="42" t="s">
        <v>7</v>
      </c>
      <c r="L54" s="42" t="s">
        <v>403</v>
      </c>
      <c r="M54" s="43" t="s">
        <v>5</v>
      </c>
      <c r="N54" s="43" t="s">
        <v>192</v>
      </c>
      <c r="O54" s="43" t="s">
        <v>475</v>
      </c>
    </row>
    <row r="55" spans="1:15" ht="41.25" customHeight="1" x14ac:dyDescent="0.3">
      <c r="A55" s="42" t="s">
        <v>516</v>
      </c>
      <c r="B55" s="43" t="s">
        <v>517</v>
      </c>
      <c r="C55" s="42" t="s">
        <v>57</v>
      </c>
      <c r="D55" s="42" t="s">
        <v>231</v>
      </c>
      <c r="E55" s="42" t="s">
        <v>148</v>
      </c>
      <c r="F55" s="43" t="s">
        <v>470</v>
      </c>
      <c r="G55" s="44" t="s">
        <v>518</v>
      </c>
      <c r="H55" s="42" t="s">
        <v>519</v>
      </c>
      <c r="I55" s="43" t="s">
        <v>520</v>
      </c>
      <c r="J55" s="45" t="s">
        <v>521</v>
      </c>
      <c r="K55" s="42" t="s">
        <v>7</v>
      </c>
      <c r="L55" s="42" t="s">
        <v>403</v>
      </c>
      <c r="M55" s="43" t="s">
        <v>5</v>
      </c>
      <c r="N55" s="43" t="s">
        <v>192</v>
      </c>
      <c r="O55" s="43" t="s">
        <v>475</v>
      </c>
    </row>
    <row r="56" spans="1:15" ht="41.25" customHeight="1" x14ac:dyDescent="0.3">
      <c r="A56" s="42" t="s">
        <v>522</v>
      </c>
      <c r="B56" s="43" t="s">
        <v>523</v>
      </c>
      <c r="C56" s="42" t="s">
        <v>57</v>
      </c>
      <c r="D56" s="42" t="s">
        <v>231</v>
      </c>
      <c r="E56" s="42" t="s">
        <v>148</v>
      </c>
      <c r="F56" s="43" t="s">
        <v>470</v>
      </c>
      <c r="G56" s="44" t="s">
        <v>524</v>
      </c>
      <c r="H56" s="42" t="s">
        <v>525</v>
      </c>
      <c r="I56" s="43" t="s">
        <v>526</v>
      </c>
      <c r="J56" s="45" t="s">
        <v>527</v>
      </c>
      <c r="K56" s="42" t="s">
        <v>7</v>
      </c>
      <c r="L56" s="42" t="s">
        <v>403</v>
      </c>
      <c r="M56" s="43" t="s">
        <v>5</v>
      </c>
      <c r="N56" s="43" t="s">
        <v>192</v>
      </c>
      <c r="O56" s="43" t="s">
        <v>475</v>
      </c>
    </row>
    <row r="57" spans="1:15" ht="41.25" customHeight="1" x14ac:dyDescent="0.3">
      <c r="A57" s="42" t="s">
        <v>528</v>
      </c>
      <c r="B57" s="43" t="s">
        <v>529</v>
      </c>
      <c r="C57" s="42" t="s">
        <v>57</v>
      </c>
      <c r="D57" s="42" t="s">
        <v>231</v>
      </c>
      <c r="E57" s="42" t="s">
        <v>148</v>
      </c>
      <c r="F57" s="43" t="s">
        <v>470</v>
      </c>
      <c r="G57" s="44" t="s">
        <v>530</v>
      </c>
      <c r="H57" s="42" t="s">
        <v>531</v>
      </c>
      <c r="I57" s="43" t="s">
        <v>532</v>
      </c>
      <c r="J57" s="45" t="s">
        <v>533</v>
      </c>
      <c r="K57" s="42" t="s">
        <v>7</v>
      </c>
      <c r="L57" s="42" t="s">
        <v>403</v>
      </c>
      <c r="M57" s="43" t="s">
        <v>5</v>
      </c>
      <c r="N57" s="43" t="s">
        <v>192</v>
      </c>
      <c r="O57" s="43" t="s">
        <v>475</v>
      </c>
    </row>
    <row r="58" spans="1:15" ht="41.25" customHeight="1" x14ac:dyDescent="0.3">
      <c r="A58" s="42" t="s">
        <v>534</v>
      </c>
      <c r="B58" s="43" t="s">
        <v>535</v>
      </c>
      <c r="C58" s="42" t="s">
        <v>57</v>
      </c>
      <c r="D58" s="42" t="s">
        <v>231</v>
      </c>
      <c r="E58" s="42" t="s">
        <v>148</v>
      </c>
      <c r="F58" s="43" t="s">
        <v>470</v>
      </c>
      <c r="G58" s="44" t="s">
        <v>536</v>
      </c>
      <c r="H58" s="42" t="s">
        <v>537</v>
      </c>
      <c r="I58" s="43" t="s">
        <v>538</v>
      </c>
      <c r="J58" s="45" t="s">
        <v>539</v>
      </c>
      <c r="K58" s="42" t="s">
        <v>7</v>
      </c>
      <c r="L58" s="42" t="s">
        <v>403</v>
      </c>
      <c r="M58" s="43" t="s">
        <v>5</v>
      </c>
      <c r="N58" s="43" t="s">
        <v>192</v>
      </c>
      <c r="O58" s="43" t="s">
        <v>475</v>
      </c>
    </row>
    <row r="59" spans="1:15" ht="41.25" customHeight="1" x14ac:dyDescent="0.3">
      <c r="A59" s="42" t="s">
        <v>540</v>
      </c>
      <c r="B59" s="43" t="s">
        <v>541</v>
      </c>
      <c r="C59" s="42" t="s">
        <v>57</v>
      </c>
      <c r="D59" s="42" t="s">
        <v>231</v>
      </c>
      <c r="E59" s="42" t="s">
        <v>148</v>
      </c>
      <c r="F59" s="43" t="s">
        <v>470</v>
      </c>
      <c r="G59" s="44" t="s">
        <v>542</v>
      </c>
      <c r="H59" s="42" t="s">
        <v>543</v>
      </c>
      <c r="I59" s="43" t="s">
        <v>544</v>
      </c>
      <c r="J59" s="45" t="s">
        <v>545</v>
      </c>
      <c r="K59" s="42" t="s">
        <v>7</v>
      </c>
      <c r="L59" s="42" t="s">
        <v>403</v>
      </c>
      <c r="M59" s="43" t="s">
        <v>5</v>
      </c>
      <c r="N59" s="43" t="s">
        <v>192</v>
      </c>
      <c r="O59" s="43" t="s">
        <v>475</v>
      </c>
    </row>
    <row r="60" spans="1:15" ht="81.75" customHeight="1" x14ac:dyDescent="0.3">
      <c r="A60" s="42" t="s">
        <v>546</v>
      </c>
      <c r="B60" s="43" t="s">
        <v>547</v>
      </c>
      <c r="C60" s="42" t="s">
        <v>57</v>
      </c>
      <c r="D60" s="42" t="s">
        <v>231</v>
      </c>
      <c r="E60" s="42" t="s">
        <v>203</v>
      </c>
      <c r="F60" s="43" t="s">
        <v>470</v>
      </c>
      <c r="G60" s="44" t="s">
        <v>548</v>
      </c>
      <c r="H60" s="42" t="s">
        <v>549</v>
      </c>
      <c r="I60" s="43" t="s">
        <v>550</v>
      </c>
      <c r="J60" s="45" t="s">
        <v>551</v>
      </c>
      <c r="K60" s="42" t="s">
        <v>8</v>
      </c>
      <c r="L60" s="42" t="s">
        <v>403</v>
      </c>
      <c r="M60" s="43" t="s">
        <v>5</v>
      </c>
      <c r="N60" s="43" t="s">
        <v>192</v>
      </c>
      <c r="O60" s="43" t="s">
        <v>327</v>
      </c>
    </row>
    <row r="61" spans="1:15" ht="68.25" customHeight="1" x14ac:dyDescent="0.3">
      <c r="A61" s="42" t="s">
        <v>552</v>
      </c>
      <c r="B61" s="43" t="s">
        <v>553</v>
      </c>
      <c r="C61" s="42" t="s">
        <v>57</v>
      </c>
      <c r="D61" s="42" t="s">
        <v>166</v>
      </c>
      <c r="E61" s="42" t="s">
        <v>148</v>
      </c>
      <c r="F61" s="43" t="s">
        <v>470</v>
      </c>
      <c r="G61" s="44" t="s">
        <v>554</v>
      </c>
      <c r="H61" s="42" t="s">
        <v>555</v>
      </c>
      <c r="I61" s="43" t="s">
        <v>556</v>
      </c>
      <c r="J61" s="45" t="s">
        <v>557</v>
      </c>
      <c r="K61" s="42" t="s">
        <v>7</v>
      </c>
      <c r="L61" s="42" t="s">
        <v>403</v>
      </c>
      <c r="M61" s="43" t="s">
        <v>5</v>
      </c>
      <c r="N61" s="43" t="s">
        <v>192</v>
      </c>
      <c r="O61" s="43" t="s">
        <v>475</v>
      </c>
    </row>
    <row r="62" spans="1:15" ht="41.25" customHeight="1" x14ac:dyDescent="0.3">
      <c r="A62" s="42" t="s">
        <v>558</v>
      </c>
      <c r="B62" s="43" t="s">
        <v>559</v>
      </c>
      <c r="C62" s="42" t="s">
        <v>58</v>
      </c>
      <c r="D62" s="42" t="s">
        <v>147</v>
      </c>
      <c r="E62" s="42" t="s">
        <v>148</v>
      </c>
      <c r="F62" s="43" t="s">
        <v>560</v>
      </c>
      <c r="G62" s="44" t="s">
        <v>561</v>
      </c>
      <c r="H62" s="42" t="s">
        <v>562</v>
      </c>
      <c r="I62" s="43" t="s">
        <v>563</v>
      </c>
      <c r="J62" s="45" t="s">
        <v>564</v>
      </c>
      <c r="K62" s="42" t="s">
        <v>7</v>
      </c>
      <c r="L62" s="42" t="s">
        <v>565</v>
      </c>
      <c r="M62" s="46" t="s">
        <v>4</v>
      </c>
      <c r="N62" s="46" t="s">
        <v>155</v>
      </c>
      <c r="O62" s="43" t="s">
        <v>566</v>
      </c>
    </row>
    <row r="63" spans="1:15" ht="41.25" customHeight="1" x14ac:dyDescent="0.3">
      <c r="A63" s="42" t="s">
        <v>567</v>
      </c>
      <c r="B63" s="43" t="s">
        <v>568</v>
      </c>
      <c r="C63" s="42" t="s">
        <v>58</v>
      </c>
      <c r="D63" s="42" t="s">
        <v>147</v>
      </c>
      <c r="E63" s="42" t="s">
        <v>148</v>
      </c>
      <c r="F63" s="43" t="s">
        <v>560</v>
      </c>
      <c r="G63" s="44" t="s">
        <v>569</v>
      </c>
      <c r="H63" s="42" t="s">
        <v>570</v>
      </c>
      <c r="I63" s="43" t="s">
        <v>571</v>
      </c>
      <c r="J63" s="45" t="s">
        <v>572</v>
      </c>
      <c r="K63" s="42" t="s">
        <v>7</v>
      </c>
      <c r="L63" s="42" t="s">
        <v>565</v>
      </c>
      <c r="M63" s="46" t="s">
        <v>4</v>
      </c>
      <c r="N63" s="46" t="s">
        <v>155</v>
      </c>
      <c r="O63" s="43" t="s">
        <v>573</v>
      </c>
    </row>
    <row r="64" spans="1:15" ht="41.25" customHeight="1" x14ac:dyDescent="0.3">
      <c r="A64" s="42" t="s">
        <v>574</v>
      </c>
      <c r="B64" s="43" t="s">
        <v>575</v>
      </c>
      <c r="C64" s="42" t="s">
        <v>58</v>
      </c>
      <c r="D64" s="42" t="s">
        <v>166</v>
      </c>
      <c r="E64" s="42" t="s">
        <v>148</v>
      </c>
      <c r="F64" s="43" t="s">
        <v>560</v>
      </c>
      <c r="G64" s="44" t="s">
        <v>576</v>
      </c>
      <c r="H64" s="42" t="s">
        <v>577</v>
      </c>
      <c r="I64" s="43" t="s">
        <v>578</v>
      </c>
      <c r="J64" s="45" t="s">
        <v>579</v>
      </c>
      <c r="K64" s="42" t="s">
        <v>7</v>
      </c>
      <c r="L64" s="42" t="s">
        <v>565</v>
      </c>
      <c r="M64" s="43" t="s">
        <v>5</v>
      </c>
      <c r="N64" s="43" t="s">
        <v>192</v>
      </c>
      <c r="O64" s="43" t="s">
        <v>580</v>
      </c>
    </row>
    <row r="65" spans="1:15" ht="41.25" customHeight="1" x14ac:dyDescent="0.3">
      <c r="A65" s="42" t="s">
        <v>581</v>
      </c>
      <c r="B65" s="43" t="s">
        <v>582</v>
      </c>
      <c r="C65" s="42" t="s">
        <v>58</v>
      </c>
      <c r="D65" s="42" t="s">
        <v>166</v>
      </c>
      <c r="E65" s="42" t="s">
        <v>148</v>
      </c>
      <c r="F65" s="43" t="s">
        <v>560</v>
      </c>
      <c r="G65" s="44" t="s">
        <v>583</v>
      </c>
      <c r="H65" s="42" t="s">
        <v>584</v>
      </c>
      <c r="I65" s="43" t="s">
        <v>585</v>
      </c>
      <c r="J65" s="45" t="s">
        <v>586</v>
      </c>
      <c r="K65" s="42" t="s">
        <v>7</v>
      </c>
      <c r="L65" s="42" t="s">
        <v>565</v>
      </c>
      <c r="M65" s="43" t="s">
        <v>5</v>
      </c>
      <c r="N65" s="43" t="s">
        <v>192</v>
      </c>
      <c r="O65" s="43" t="s">
        <v>587</v>
      </c>
    </row>
    <row r="66" spans="1:15" ht="41.25" customHeight="1" x14ac:dyDescent="0.3">
      <c r="A66" s="42" t="s">
        <v>588</v>
      </c>
      <c r="B66" s="43" t="s">
        <v>589</v>
      </c>
      <c r="C66" s="42" t="s">
        <v>58</v>
      </c>
      <c r="D66" s="42" t="s">
        <v>166</v>
      </c>
      <c r="E66" s="42" t="s">
        <v>148</v>
      </c>
      <c r="F66" s="43" t="s">
        <v>560</v>
      </c>
      <c r="G66" s="44" t="s">
        <v>590</v>
      </c>
      <c r="H66" s="42" t="s">
        <v>591</v>
      </c>
      <c r="I66" s="43" t="s">
        <v>592</v>
      </c>
      <c r="J66" s="45" t="s">
        <v>593</v>
      </c>
      <c r="K66" s="42" t="s">
        <v>7</v>
      </c>
      <c r="L66" s="42" t="s">
        <v>565</v>
      </c>
      <c r="M66" s="43" t="s">
        <v>5</v>
      </c>
      <c r="N66" s="43" t="s">
        <v>192</v>
      </c>
      <c r="O66" s="43" t="s">
        <v>594</v>
      </c>
    </row>
    <row r="67" spans="1:15" ht="41.25" customHeight="1" x14ac:dyDescent="0.3">
      <c r="A67" s="42" t="s">
        <v>595</v>
      </c>
      <c r="B67" s="43" t="s">
        <v>596</v>
      </c>
      <c r="C67" s="42" t="s">
        <v>58</v>
      </c>
      <c r="D67" s="42" t="s">
        <v>147</v>
      </c>
      <c r="E67" s="42" t="s">
        <v>148</v>
      </c>
      <c r="F67" s="43" t="s">
        <v>149</v>
      </c>
      <c r="G67" s="44" t="s">
        <v>597</v>
      </c>
      <c r="H67" s="42" t="s">
        <v>598</v>
      </c>
      <c r="I67" s="43" t="s">
        <v>599</v>
      </c>
      <c r="J67" s="45" t="s">
        <v>600</v>
      </c>
      <c r="K67" s="42" t="s">
        <v>7</v>
      </c>
      <c r="L67" s="42" t="s">
        <v>565</v>
      </c>
      <c r="M67" s="46" t="s">
        <v>4</v>
      </c>
      <c r="N67" s="46" t="s">
        <v>155</v>
      </c>
      <c r="O67" s="43" t="s">
        <v>601</v>
      </c>
    </row>
    <row r="68" spans="1:15" ht="54.75" customHeight="1" x14ac:dyDescent="0.3">
      <c r="A68" s="42" t="s">
        <v>602</v>
      </c>
      <c r="B68" s="43" t="s">
        <v>603</v>
      </c>
      <c r="C68" s="42" t="s">
        <v>58</v>
      </c>
      <c r="D68" s="42" t="s">
        <v>166</v>
      </c>
      <c r="E68" s="42" t="s">
        <v>148</v>
      </c>
      <c r="F68" s="43" t="s">
        <v>604</v>
      </c>
      <c r="G68" s="44" t="s">
        <v>605</v>
      </c>
      <c r="H68" s="42" t="s">
        <v>606</v>
      </c>
      <c r="I68" s="43" t="s">
        <v>607</v>
      </c>
      <c r="J68" s="45" t="s">
        <v>608</v>
      </c>
      <c r="K68" s="42" t="s">
        <v>7</v>
      </c>
      <c r="L68" s="42" t="s">
        <v>565</v>
      </c>
      <c r="M68" s="43" t="s">
        <v>5</v>
      </c>
      <c r="N68" s="43" t="s">
        <v>192</v>
      </c>
      <c r="O68" s="43" t="s">
        <v>609</v>
      </c>
    </row>
    <row r="69" spans="1:15" ht="41.25" customHeight="1" x14ac:dyDescent="0.3">
      <c r="A69" s="42" t="s">
        <v>610</v>
      </c>
      <c r="B69" s="43" t="s">
        <v>611</v>
      </c>
      <c r="C69" s="42" t="s">
        <v>59</v>
      </c>
      <c r="D69" s="42" t="s">
        <v>231</v>
      </c>
      <c r="E69" s="42" t="s">
        <v>148</v>
      </c>
      <c r="F69" s="43" t="s">
        <v>560</v>
      </c>
      <c r="G69" s="44" t="s">
        <v>612</v>
      </c>
      <c r="H69" s="42" t="s">
        <v>151</v>
      </c>
      <c r="I69" s="43" t="s">
        <v>613</v>
      </c>
      <c r="J69" s="45" t="s">
        <v>614</v>
      </c>
      <c r="K69" s="42" t="s">
        <v>7</v>
      </c>
      <c r="L69" s="42" t="s">
        <v>615</v>
      </c>
      <c r="M69" s="43" t="s">
        <v>5</v>
      </c>
      <c r="N69" s="43" t="s">
        <v>192</v>
      </c>
      <c r="O69" s="43" t="s">
        <v>616</v>
      </c>
    </row>
    <row r="70" spans="1:15" ht="54.75" customHeight="1" x14ac:dyDescent="0.3">
      <c r="A70" s="42" t="s">
        <v>617</v>
      </c>
      <c r="B70" s="43" t="s">
        <v>618</v>
      </c>
      <c r="C70" s="42" t="s">
        <v>59</v>
      </c>
      <c r="D70" s="42" t="s">
        <v>147</v>
      </c>
      <c r="E70" s="42" t="s">
        <v>148</v>
      </c>
      <c r="F70" s="43" t="s">
        <v>560</v>
      </c>
      <c r="G70" s="44" t="s">
        <v>619</v>
      </c>
      <c r="H70" s="42" t="s">
        <v>620</v>
      </c>
      <c r="I70" s="43" t="s">
        <v>621</v>
      </c>
      <c r="J70" s="45" t="s">
        <v>622</v>
      </c>
      <c r="K70" s="42" t="s">
        <v>7</v>
      </c>
      <c r="L70" s="42" t="s">
        <v>615</v>
      </c>
      <c r="M70" s="46" t="s">
        <v>4</v>
      </c>
      <c r="N70" s="46" t="s">
        <v>155</v>
      </c>
      <c r="O70" s="43" t="s">
        <v>623</v>
      </c>
    </row>
    <row r="71" spans="1:15" ht="41.25" customHeight="1" x14ac:dyDescent="0.3">
      <c r="A71" s="42" t="s">
        <v>624</v>
      </c>
      <c r="B71" s="43" t="s">
        <v>625</v>
      </c>
      <c r="C71" s="42" t="s">
        <v>59</v>
      </c>
      <c r="D71" s="42" t="s">
        <v>231</v>
      </c>
      <c r="E71" s="42" t="s">
        <v>148</v>
      </c>
      <c r="F71" s="43" t="s">
        <v>560</v>
      </c>
      <c r="G71" s="44" t="s">
        <v>626</v>
      </c>
      <c r="H71" s="42" t="s">
        <v>627</v>
      </c>
      <c r="I71" s="43" t="s">
        <v>628</v>
      </c>
      <c r="J71" s="45" t="s">
        <v>629</v>
      </c>
      <c r="K71" s="42" t="s">
        <v>7</v>
      </c>
      <c r="L71" s="42" t="s">
        <v>615</v>
      </c>
      <c r="M71" s="43" t="s">
        <v>5</v>
      </c>
      <c r="N71" s="43" t="s">
        <v>192</v>
      </c>
      <c r="O71" s="43" t="s">
        <v>630</v>
      </c>
    </row>
    <row r="72" spans="1:15" ht="41.25" customHeight="1" x14ac:dyDescent="0.3">
      <c r="A72" s="42" t="s">
        <v>631</v>
      </c>
      <c r="B72" s="43" t="s">
        <v>632</v>
      </c>
      <c r="C72" s="42" t="s">
        <v>59</v>
      </c>
      <c r="D72" s="42" t="s">
        <v>231</v>
      </c>
      <c r="E72" s="42" t="s">
        <v>203</v>
      </c>
      <c r="F72" s="43" t="s">
        <v>633</v>
      </c>
      <c r="G72" s="44" t="s">
        <v>634</v>
      </c>
      <c r="H72" s="42" t="s">
        <v>635</v>
      </c>
      <c r="I72" s="43" t="s">
        <v>636</v>
      </c>
      <c r="J72" s="45" t="s">
        <v>637</v>
      </c>
      <c r="K72" s="42" t="s">
        <v>7</v>
      </c>
      <c r="L72" s="42" t="s">
        <v>615</v>
      </c>
      <c r="M72" s="43" t="s">
        <v>5</v>
      </c>
      <c r="N72" s="43" t="s">
        <v>192</v>
      </c>
      <c r="O72" s="43" t="s">
        <v>638</v>
      </c>
    </row>
    <row r="73" spans="1:15" ht="27.75" customHeight="1" x14ac:dyDescent="0.3">
      <c r="A73" s="42" t="s">
        <v>639</v>
      </c>
      <c r="B73" s="43" t="s">
        <v>640</v>
      </c>
      <c r="C73" s="42" t="s">
        <v>59</v>
      </c>
      <c r="D73" s="42" t="s">
        <v>231</v>
      </c>
      <c r="E73" s="42" t="s">
        <v>148</v>
      </c>
      <c r="F73" s="43" t="s">
        <v>641</v>
      </c>
      <c r="G73" s="44" t="s">
        <v>642</v>
      </c>
      <c r="H73" s="42" t="s">
        <v>643</v>
      </c>
      <c r="I73" s="43" t="s">
        <v>644</v>
      </c>
      <c r="J73" s="45" t="s">
        <v>645</v>
      </c>
      <c r="K73" s="42" t="s">
        <v>7</v>
      </c>
      <c r="L73" s="42" t="s">
        <v>615</v>
      </c>
      <c r="M73" s="43" t="s">
        <v>5</v>
      </c>
      <c r="N73" s="43" t="s">
        <v>192</v>
      </c>
      <c r="O73" s="43" t="s">
        <v>646</v>
      </c>
    </row>
    <row r="74" spans="1:15" ht="41.25" customHeight="1" x14ac:dyDescent="0.3">
      <c r="A74" s="42" t="s">
        <v>647</v>
      </c>
      <c r="B74" s="43" t="s">
        <v>648</v>
      </c>
      <c r="C74" s="42" t="s">
        <v>59</v>
      </c>
      <c r="D74" s="42" t="s">
        <v>231</v>
      </c>
      <c r="E74" s="42" t="s">
        <v>148</v>
      </c>
      <c r="F74" s="43" t="s">
        <v>604</v>
      </c>
      <c r="G74" s="44" t="s">
        <v>649</v>
      </c>
      <c r="H74" s="42" t="s">
        <v>650</v>
      </c>
      <c r="I74" s="43" t="s">
        <v>651</v>
      </c>
      <c r="J74" s="45" t="s">
        <v>652</v>
      </c>
      <c r="K74" s="42" t="s">
        <v>7</v>
      </c>
      <c r="L74" s="42" t="s">
        <v>615</v>
      </c>
      <c r="M74" s="43" t="s">
        <v>5</v>
      </c>
      <c r="N74" s="43" t="s">
        <v>192</v>
      </c>
      <c r="O74" s="43" t="s">
        <v>236</v>
      </c>
    </row>
    <row r="75" spans="1:15" ht="41.25" customHeight="1" x14ac:dyDescent="0.3">
      <c r="A75" s="42" t="s">
        <v>653</v>
      </c>
      <c r="B75" s="43" t="s">
        <v>654</v>
      </c>
      <c r="C75" s="42" t="s">
        <v>59</v>
      </c>
      <c r="D75" s="42" t="s">
        <v>166</v>
      </c>
      <c r="E75" s="42" t="s">
        <v>148</v>
      </c>
      <c r="F75" s="43" t="s">
        <v>655</v>
      </c>
      <c r="G75" s="44" t="s">
        <v>656</v>
      </c>
      <c r="H75" s="42" t="s">
        <v>657</v>
      </c>
      <c r="I75" s="43" t="s">
        <v>658</v>
      </c>
      <c r="J75" s="45" t="s">
        <v>659</v>
      </c>
      <c r="K75" s="42" t="s">
        <v>7</v>
      </c>
      <c r="L75" s="42" t="s">
        <v>615</v>
      </c>
      <c r="M75" s="43" t="s">
        <v>5</v>
      </c>
      <c r="N75" s="43" t="s">
        <v>192</v>
      </c>
      <c r="O75" s="43" t="s">
        <v>327</v>
      </c>
    </row>
    <row r="76" spans="1:15" ht="54.75" customHeight="1" x14ac:dyDescent="0.3">
      <c r="A76" s="42" t="s">
        <v>660</v>
      </c>
      <c r="B76" s="43" t="s">
        <v>661</v>
      </c>
      <c r="C76" s="42" t="s">
        <v>60</v>
      </c>
      <c r="D76" s="42" t="s">
        <v>147</v>
      </c>
      <c r="E76" s="42" t="s">
        <v>148</v>
      </c>
      <c r="F76" s="43" t="s">
        <v>560</v>
      </c>
      <c r="G76" s="44" t="s">
        <v>662</v>
      </c>
      <c r="H76" s="42" t="s">
        <v>663</v>
      </c>
      <c r="I76" s="43" t="s">
        <v>664</v>
      </c>
      <c r="J76" s="45" t="s">
        <v>665</v>
      </c>
      <c r="K76" s="42" t="s">
        <v>7</v>
      </c>
      <c r="L76" s="42" t="s">
        <v>666</v>
      </c>
      <c r="M76" s="46" t="s">
        <v>4</v>
      </c>
      <c r="N76" s="46" t="s">
        <v>155</v>
      </c>
      <c r="O76" s="43" t="s">
        <v>667</v>
      </c>
    </row>
    <row r="77" spans="1:15" ht="54.75" customHeight="1" x14ac:dyDescent="0.3">
      <c r="A77" s="42" t="s">
        <v>668</v>
      </c>
      <c r="B77" s="43" t="s">
        <v>669</v>
      </c>
      <c r="C77" s="42" t="s">
        <v>60</v>
      </c>
      <c r="D77" s="42" t="s">
        <v>147</v>
      </c>
      <c r="E77" s="42" t="s">
        <v>148</v>
      </c>
      <c r="F77" s="43" t="s">
        <v>670</v>
      </c>
      <c r="G77" s="44" t="s">
        <v>671</v>
      </c>
      <c r="H77" s="42" t="s">
        <v>672</v>
      </c>
      <c r="I77" s="43" t="s">
        <v>673</v>
      </c>
      <c r="J77" s="45" t="s">
        <v>674</v>
      </c>
      <c r="K77" s="42" t="s">
        <v>7</v>
      </c>
      <c r="L77" s="42" t="s">
        <v>666</v>
      </c>
      <c r="M77" s="46" t="s">
        <v>4</v>
      </c>
      <c r="N77" s="46" t="s">
        <v>155</v>
      </c>
      <c r="O77" s="43" t="s">
        <v>675</v>
      </c>
    </row>
    <row r="78" spans="1:15" ht="41.25" customHeight="1" x14ac:dyDescent="0.3">
      <c r="A78" s="42" t="s">
        <v>676</v>
      </c>
      <c r="B78" s="43" t="s">
        <v>677</v>
      </c>
      <c r="C78" s="42" t="s">
        <v>60</v>
      </c>
      <c r="D78" s="42" t="s">
        <v>231</v>
      </c>
      <c r="E78" s="42" t="s">
        <v>148</v>
      </c>
      <c r="F78" s="43" t="s">
        <v>670</v>
      </c>
      <c r="G78" s="44" t="s">
        <v>678</v>
      </c>
      <c r="H78" s="42" t="s">
        <v>679</v>
      </c>
      <c r="I78" s="43" t="s">
        <v>680</v>
      </c>
      <c r="J78" s="45" t="s">
        <v>681</v>
      </c>
      <c r="K78" s="42" t="s">
        <v>7</v>
      </c>
      <c r="L78" s="42" t="s">
        <v>666</v>
      </c>
      <c r="M78" s="43" t="s">
        <v>5</v>
      </c>
      <c r="N78" s="43" t="s">
        <v>192</v>
      </c>
      <c r="O78" s="43" t="s">
        <v>682</v>
      </c>
    </row>
    <row r="79" spans="1:15" ht="41.25" customHeight="1" x14ac:dyDescent="0.3">
      <c r="A79" s="42" t="s">
        <v>683</v>
      </c>
      <c r="B79" s="43" t="s">
        <v>684</v>
      </c>
      <c r="C79" s="42" t="s">
        <v>60</v>
      </c>
      <c r="D79" s="42" t="s">
        <v>166</v>
      </c>
      <c r="E79" s="42" t="s">
        <v>66</v>
      </c>
      <c r="F79" s="43" t="s">
        <v>670</v>
      </c>
      <c r="G79" s="44" t="s">
        <v>685</v>
      </c>
      <c r="H79" s="42" t="s">
        <v>686</v>
      </c>
      <c r="I79" s="43" t="s">
        <v>687</v>
      </c>
      <c r="J79" s="45" t="s">
        <v>688</v>
      </c>
      <c r="K79" s="42" t="s">
        <v>7</v>
      </c>
      <c r="L79" s="42" t="s">
        <v>666</v>
      </c>
      <c r="M79" s="43" t="s">
        <v>5</v>
      </c>
      <c r="N79" s="43" t="s">
        <v>192</v>
      </c>
      <c r="O79" s="43" t="s">
        <v>689</v>
      </c>
    </row>
    <row r="80" spans="1:15" ht="41.25" customHeight="1" x14ac:dyDescent="0.3">
      <c r="A80" s="42" t="s">
        <v>690</v>
      </c>
      <c r="B80" s="43" t="s">
        <v>691</v>
      </c>
      <c r="C80" s="42" t="s">
        <v>60</v>
      </c>
      <c r="D80" s="42" t="s">
        <v>147</v>
      </c>
      <c r="E80" s="42" t="s">
        <v>148</v>
      </c>
      <c r="F80" s="43" t="s">
        <v>670</v>
      </c>
      <c r="G80" s="44" t="s">
        <v>692</v>
      </c>
      <c r="H80" s="42" t="s">
        <v>693</v>
      </c>
      <c r="I80" s="43" t="s">
        <v>694</v>
      </c>
      <c r="J80" s="45" t="s">
        <v>695</v>
      </c>
      <c r="K80" s="42" t="s">
        <v>7</v>
      </c>
      <c r="L80" s="42" t="s">
        <v>666</v>
      </c>
      <c r="M80" s="43" t="s">
        <v>5</v>
      </c>
      <c r="N80" s="46" t="s">
        <v>155</v>
      </c>
      <c r="O80" s="43" t="s">
        <v>696</v>
      </c>
    </row>
    <row r="81" spans="1:15" ht="41.25" customHeight="1" x14ac:dyDescent="0.3">
      <c r="A81" s="42" t="s">
        <v>697</v>
      </c>
      <c r="B81" s="43" t="s">
        <v>698</v>
      </c>
      <c r="C81" s="42" t="s">
        <v>60</v>
      </c>
      <c r="D81" s="42" t="s">
        <v>231</v>
      </c>
      <c r="E81" s="42" t="s">
        <v>148</v>
      </c>
      <c r="F81" s="43" t="s">
        <v>670</v>
      </c>
      <c r="G81" s="44" t="s">
        <v>699</v>
      </c>
      <c r="H81" s="42" t="s">
        <v>700</v>
      </c>
      <c r="I81" s="43" t="s">
        <v>701</v>
      </c>
      <c r="J81" s="45" t="s">
        <v>702</v>
      </c>
      <c r="K81" s="42" t="s">
        <v>7</v>
      </c>
      <c r="L81" s="42" t="s">
        <v>666</v>
      </c>
      <c r="M81" s="43" t="s">
        <v>5</v>
      </c>
      <c r="N81" s="43" t="s">
        <v>192</v>
      </c>
      <c r="O81" s="43" t="s">
        <v>703</v>
      </c>
    </row>
    <row r="82" spans="1:15" ht="41.25" customHeight="1" x14ac:dyDescent="0.3">
      <c r="A82" s="42" t="s">
        <v>704</v>
      </c>
      <c r="B82" s="43" t="s">
        <v>705</v>
      </c>
      <c r="C82" s="42" t="s">
        <v>60</v>
      </c>
      <c r="D82" s="42" t="s">
        <v>166</v>
      </c>
      <c r="E82" s="42" t="s">
        <v>203</v>
      </c>
      <c r="F82" s="43" t="s">
        <v>149</v>
      </c>
      <c r="G82" s="44" t="s">
        <v>706</v>
      </c>
      <c r="H82" s="42" t="s">
        <v>707</v>
      </c>
      <c r="I82" s="43" t="s">
        <v>708</v>
      </c>
      <c r="J82" s="45" t="s">
        <v>709</v>
      </c>
      <c r="K82" s="42" t="s">
        <v>7</v>
      </c>
      <c r="L82" s="42" t="s">
        <v>666</v>
      </c>
      <c r="M82" s="46" t="s">
        <v>4</v>
      </c>
      <c r="N82" s="46" t="s">
        <v>155</v>
      </c>
      <c r="O82" s="43" t="s">
        <v>710</v>
      </c>
    </row>
    <row r="83" spans="1:15" ht="41.25" customHeight="1" x14ac:dyDescent="0.3">
      <c r="A83" s="42" t="s">
        <v>711</v>
      </c>
      <c r="B83" s="43" t="s">
        <v>712</v>
      </c>
      <c r="C83" s="42" t="s">
        <v>60</v>
      </c>
      <c r="D83" s="42" t="s">
        <v>231</v>
      </c>
      <c r="E83" s="42" t="s">
        <v>66</v>
      </c>
      <c r="F83" s="43" t="s">
        <v>670</v>
      </c>
      <c r="G83" s="44" t="s">
        <v>713</v>
      </c>
      <c r="H83" s="42" t="s">
        <v>714</v>
      </c>
      <c r="I83" s="43" t="s">
        <v>715</v>
      </c>
      <c r="J83" s="45" t="s">
        <v>716</v>
      </c>
      <c r="K83" s="42" t="s">
        <v>7</v>
      </c>
      <c r="L83" s="42" t="s">
        <v>666</v>
      </c>
      <c r="M83" s="43" t="s">
        <v>5</v>
      </c>
      <c r="N83" s="43" t="s">
        <v>192</v>
      </c>
      <c r="O83" s="43" t="s">
        <v>396</v>
      </c>
    </row>
    <row r="84" spans="1:15" ht="41.25" customHeight="1" x14ac:dyDescent="0.3">
      <c r="A84" s="42" t="s">
        <v>717</v>
      </c>
      <c r="B84" s="43" t="s">
        <v>718</v>
      </c>
      <c r="C84" s="42" t="s">
        <v>60</v>
      </c>
      <c r="D84" s="42" t="s">
        <v>231</v>
      </c>
      <c r="E84" s="42" t="s">
        <v>148</v>
      </c>
      <c r="F84" s="43" t="s">
        <v>670</v>
      </c>
      <c r="G84" s="44" t="s">
        <v>719</v>
      </c>
      <c r="H84" s="42" t="s">
        <v>720</v>
      </c>
      <c r="I84" s="43" t="s">
        <v>721</v>
      </c>
      <c r="J84" s="45" t="s">
        <v>722</v>
      </c>
      <c r="K84" s="42" t="s">
        <v>7</v>
      </c>
      <c r="L84" s="42" t="s">
        <v>666</v>
      </c>
      <c r="M84" s="43" t="s">
        <v>5</v>
      </c>
      <c r="N84" s="43" t="s">
        <v>192</v>
      </c>
      <c r="O84" s="43" t="s">
        <v>236</v>
      </c>
    </row>
    <row r="85" spans="1:15" ht="41.25" customHeight="1" x14ac:dyDescent="0.3">
      <c r="A85" s="42" t="s">
        <v>723</v>
      </c>
      <c r="B85" s="43" t="s">
        <v>724</v>
      </c>
      <c r="C85" s="42" t="s">
        <v>60</v>
      </c>
      <c r="D85" s="42" t="s">
        <v>166</v>
      </c>
      <c r="E85" s="42" t="s">
        <v>148</v>
      </c>
      <c r="F85" s="43" t="s">
        <v>670</v>
      </c>
      <c r="G85" s="44" t="s">
        <v>725</v>
      </c>
      <c r="H85" s="42" t="s">
        <v>726</v>
      </c>
      <c r="I85" s="43" t="s">
        <v>727</v>
      </c>
      <c r="J85" s="45" t="s">
        <v>728</v>
      </c>
      <c r="K85" s="42" t="s">
        <v>7</v>
      </c>
      <c r="L85" s="42" t="s">
        <v>666</v>
      </c>
      <c r="M85" s="43" t="s">
        <v>5</v>
      </c>
      <c r="N85" s="43" t="s">
        <v>192</v>
      </c>
      <c r="O85" s="43" t="s">
        <v>729</v>
      </c>
    </row>
    <row r="86" spans="1:15" ht="54.75" customHeight="1" x14ac:dyDescent="0.3">
      <c r="A86" s="42" t="s">
        <v>730</v>
      </c>
      <c r="B86" s="43" t="s">
        <v>731</v>
      </c>
      <c r="C86" s="42" t="s">
        <v>61</v>
      </c>
      <c r="D86" s="42" t="s">
        <v>147</v>
      </c>
      <c r="E86" s="42" t="s">
        <v>148</v>
      </c>
      <c r="F86" s="43" t="s">
        <v>670</v>
      </c>
      <c r="G86" s="44" t="s">
        <v>732</v>
      </c>
      <c r="H86" s="42" t="s">
        <v>733</v>
      </c>
      <c r="I86" s="43" t="s">
        <v>734</v>
      </c>
      <c r="J86" s="45" t="s">
        <v>735</v>
      </c>
      <c r="K86" s="42" t="s">
        <v>7</v>
      </c>
      <c r="L86" s="42" t="s">
        <v>736</v>
      </c>
      <c r="M86" s="46" t="s">
        <v>4</v>
      </c>
      <c r="N86" s="46" t="s">
        <v>155</v>
      </c>
      <c r="O86" s="43" t="s">
        <v>737</v>
      </c>
    </row>
    <row r="87" spans="1:15" ht="54.75" customHeight="1" x14ac:dyDescent="0.3">
      <c r="A87" s="42" t="s">
        <v>738</v>
      </c>
      <c r="B87" s="43" t="s">
        <v>739</v>
      </c>
      <c r="C87" s="42" t="s">
        <v>61</v>
      </c>
      <c r="D87" s="42" t="s">
        <v>166</v>
      </c>
      <c r="E87" s="42" t="s">
        <v>148</v>
      </c>
      <c r="F87" s="43" t="s">
        <v>740</v>
      </c>
      <c r="G87" s="44" t="s">
        <v>741</v>
      </c>
      <c r="H87" s="42" t="s">
        <v>742</v>
      </c>
      <c r="I87" s="43" t="s">
        <v>743</v>
      </c>
      <c r="J87" s="45" t="s">
        <v>744</v>
      </c>
      <c r="K87" s="42" t="s">
        <v>7</v>
      </c>
      <c r="L87" s="42" t="s">
        <v>736</v>
      </c>
      <c r="M87" s="46" t="s">
        <v>4</v>
      </c>
      <c r="N87" s="46" t="s">
        <v>155</v>
      </c>
      <c r="O87" s="43" t="s">
        <v>745</v>
      </c>
    </row>
    <row r="88" spans="1:15" ht="41.25" customHeight="1" x14ac:dyDescent="0.3">
      <c r="A88" s="42" t="s">
        <v>746</v>
      </c>
      <c r="B88" s="43" t="s">
        <v>747</v>
      </c>
      <c r="C88" s="42" t="s">
        <v>61</v>
      </c>
      <c r="D88" s="42" t="s">
        <v>166</v>
      </c>
      <c r="E88" s="42" t="s">
        <v>148</v>
      </c>
      <c r="F88" s="43" t="s">
        <v>740</v>
      </c>
      <c r="G88" s="44" t="s">
        <v>748</v>
      </c>
      <c r="H88" s="42" t="s">
        <v>742</v>
      </c>
      <c r="I88" s="43" t="s">
        <v>749</v>
      </c>
      <c r="J88" s="45" t="s">
        <v>750</v>
      </c>
      <c r="K88" s="42" t="s">
        <v>7</v>
      </c>
      <c r="L88" s="42" t="s">
        <v>736</v>
      </c>
      <c r="M88" s="43" t="s">
        <v>5</v>
      </c>
      <c r="N88" s="43" t="s">
        <v>192</v>
      </c>
      <c r="O88" s="43" t="s">
        <v>751</v>
      </c>
    </row>
    <row r="89" spans="1:15" ht="41.25" customHeight="1" x14ac:dyDescent="0.3">
      <c r="A89" s="42" t="s">
        <v>752</v>
      </c>
      <c r="B89" s="43" t="s">
        <v>753</v>
      </c>
      <c r="C89" s="42" t="s">
        <v>61</v>
      </c>
      <c r="D89" s="42" t="s">
        <v>231</v>
      </c>
      <c r="E89" s="42" t="s">
        <v>148</v>
      </c>
      <c r="F89" s="43" t="s">
        <v>754</v>
      </c>
      <c r="G89" s="44" t="s">
        <v>755</v>
      </c>
      <c r="H89" s="42" t="s">
        <v>756</v>
      </c>
      <c r="I89" s="43" t="s">
        <v>757</v>
      </c>
      <c r="J89" s="45" t="s">
        <v>758</v>
      </c>
      <c r="K89" s="42" t="s">
        <v>7</v>
      </c>
      <c r="L89" s="42" t="s">
        <v>736</v>
      </c>
      <c r="M89" s="43" t="s">
        <v>5</v>
      </c>
      <c r="N89" s="43" t="s">
        <v>192</v>
      </c>
      <c r="O89" s="43" t="s">
        <v>236</v>
      </c>
    </row>
    <row r="90" spans="1:15" ht="27.75" customHeight="1" x14ac:dyDescent="0.3">
      <c r="A90" s="42" t="s">
        <v>759</v>
      </c>
      <c r="B90" s="43" t="s">
        <v>760</v>
      </c>
      <c r="C90" s="42" t="s">
        <v>62</v>
      </c>
      <c r="D90" s="42" t="s">
        <v>166</v>
      </c>
      <c r="E90" s="42" t="s">
        <v>148</v>
      </c>
      <c r="F90" s="43" t="s">
        <v>149</v>
      </c>
      <c r="G90" s="44" t="s">
        <v>761</v>
      </c>
      <c r="H90" s="42" t="s">
        <v>726</v>
      </c>
      <c r="I90" s="43" t="s">
        <v>762</v>
      </c>
      <c r="J90" s="45" t="s">
        <v>763</v>
      </c>
      <c r="K90" s="42" t="s">
        <v>7</v>
      </c>
      <c r="L90" s="42" t="s">
        <v>764</v>
      </c>
      <c r="M90" s="46" t="s">
        <v>4</v>
      </c>
      <c r="N90" s="46" t="s">
        <v>155</v>
      </c>
      <c r="O90" s="43" t="s">
        <v>765</v>
      </c>
    </row>
    <row r="91" spans="1:15" ht="54.75" customHeight="1" x14ac:dyDescent="0.3">
      <c r="A91" s="42" t="s">
        <v>766</v>
      </c>
      <c r="B91" s="43" t="s">
        <v>767</v>
      </c>
      <c r="C91" s="42" t="s">
        <v>62</v>
      </c>
      <c r="D91" s="42" t="s">
        <v>166</v>
      </c>
      <c r="E91" s="42" t="s">
        <v>148</v>
      </c>
      <c r="F91" s="43" t="s">
        <v>149</v>
      </c>
      <c r="G91" s="44" t="s">
        <v>768</v>
      </c>
      <c r="H91" s="42" t="s">
        <v>769</v>
      </c>
      <c r="I91" s="43" t="s">
        <v>770</v>
      </c>
      <c r="J91" s="45" t="s">
        <v>771</v>
      </c>
      <c r="K91" s="42" t="s">
        <v>7</v>
      </c>
      <c r="L91" s="42" t="s">
        <v>764</v>
      </c>
      <c r="M91" s="46" t="s">
        <v>4</v>
      </c>
      <c r="N91" s="46" t="s">
        <v>155</v>
      </c>
      <c r="O91" s="43" t="s">
        <v>772</v>
      </c>
    </row>
    <row r="92" spans="1:15" ht="27.75" customHeight="1" x14ac:dyDescent="0.3">
      <c r="A92" s="42" t="s">
        <v>773</v>
      </c>
      <c r="B92" s="43" t="s">
        <v>774</v>
      </c>
      <c r="C92" s="42" t="s">
        <v>62</v>
      </c>
      <c r="D92" s="42" t="s">
        <v>231</v>
      </c>
      <c r="E92" s="42" t="s">
        <v>148</v>
      </c>
      <c r="F92" s="43" t="s">
        <v>670</v>
      </c>
      <c r="G92" s="44" t="s">
        <v>775</v>
      </c>
      <c r="H92" s="42" t="s">
        <v>776</v>
      </c>
      <c r="I92" s="43" t="s">
        <v>777</v>
      </c>
      <c r="J92" s="45" t="s">
        <v>778</v>
      </c>
      <c r="K92" s="42" t="s">
        <v>7</v>
      </c>
      <c r="L92" s="42" t="s">
        <v>764</v>
      </c>
      <c r="M92" s="43" t="s">
        <v>5</v>
      </c>
      <c r="N92" s="43" t="s">
        <v>192</v>
      </c>
      <c r="O92" s="43" t="s">
        <v>236</v>
      </c>
    </row>
    <row r="93" spans="1:15" ht="41.25" customHeight="1" x14ac:dyDescent="0.3">
      <c r="A93" s="42" t="s">
        <v>779</v>
      </c>
      <c r="B93" s="43" t="s">
        <v>780</v>
      </c>
      <c r="C93" s="42" t="s">
        <v>62</v>
      </c>
      <c r="D93" s="42" t="s">
        <v>231</v>
      </c>
      <c r="E93" s="42" t="s">
        <v>148</v>
      </c>
      <c r="F93" s="43" t="s">
        <v>149</v>
      </c>
      <c r="G93" s="44" t="s">
        <v>781</v>
      </c>
      <c r="H93" s="42" t="s">
        <v>782</v>
      </c>
      <c r="I93" s="43" t="s">
        <v>783</v>
      </c>
      <c r="J93" s="45" t="s">
        <v>784</v>
      </c>
      <c r="K93" s="42" t="s">
        <v>7</v>
      </c>
      <c r="L93" s="42" t="s">
        <v>764</v>
      </c>
      <c r="M93" s="43" t="s">
        <v>5</v>
      </c>
      <c r="N93" s="43" t="s">
        <v>192</v>
      </c>
      <c r="O93" s="43" t="s">
        <v>236</v>
      </c>
    </row>
    <row r="94" spans="1:15" ht="41.25" customHeight="1" x14ac:dyDescent="0.3">
      <c r="A94" s="42" t="s">
        <v>785</v>
      </c>
      <c r="B94" s="43" t="s">
        <v>786</v>
      </c>
      <c r="C94" s="42" t="s">
        <v>62</v>
      </c>
      <c r="D94" s="42" t="s">
        <v>231</v>
      </c>
      <c r="E94" s="42" t="s">
        <v>148</v>
      </c>
      <c r="F94" s="43" t="s">
        <v>149</v>
      </c>
      <c r="G94" s="44" t="s">
        <v>787</v>
      </c>
      <c r="H94" s="42" t="s">
        <v>788</v>
      </c>
      <c r="I94" s="43" t="s">
        <v>789</v>
      </c>
      <c r="J94" s="45" t="s">
        <v>790</v>
      </c>
      <c r="K94" s="42" t="s">
        <v>7</v>
      </c>
      <c r="L94" s="42" t="s">
        <v>764</v>
      </c>
      <c r="M94" s="43" t="s">
        <v>5</v>
      </c>
      <c r="N94" s="43" t="s">
        <v>192</v>
      </c>
      <c r="O94" s="43" t="s">
        <v>236</v>
      </c>
    </row>
    <row r="95" spans="1:15" ht="41.25" customHeight="1" x14ac:dyDescent="0.3">
      <c r="A95" s="42" t="s">
        <v>791</v>
      </c>
      <c r="B95" s="43" t="s">
        <v>792</v>
      </c>
      <c r="C95" s="42" t="s">
        <v>62</v>
      </c>
      <c r="D95" s="42" t="s">
        <v>166</v>
      </c>
      <c r="E95" s="42" t="s">
        <v>148</v>
      </c>
      <c r="F95" s="43" t="s">
        <v>149</v>
      </c>
      <c r="G95" s="44" t="s">
        <v>793</v>
      </c>
      <c r="H95" s="42" t="s">
        <v>794</v>
      </c>
      <c r="I95" s="43" t="s">
        <v>795</v>
      </c>
      <c r="J95" s="45" t="s">
        <v>796</v>
      </c>
      <c r="K95" s="42" t="s">
        <v>7</v>
      </c>
      <c r="L95" s="42" t="s">
        <v>764</v>
      </c>
      <c r="M95" s="43" t="s">
        <v>5</v>
      </c>
      <c r="N95" s="43" t="s">
        <v>192</v>
      </c>
      <c r="O95" s="43" t="s">
        <v>797</v>
      </c>
    </row>
    <row r="96" spans="1:15" ht="41.25" customHeight="1" x14ac:dyDescent="0.3">
      <c r="A96" s="42" t="s">
        <v>798</v>
      </c>
      <c r="B96" s="43" t="s">
        <v>799</v>
      </c>
      <c r="C96" s="42" t="s">
        <v>62</v>
      </c>
      <c r="D96" s="42" t="s">
        <v>231</v>
      </c>
      <c r="E96" s="42" t="s">
        <v>148</v>
      </c>
      <c r="F96" s="43" t="s">
        <v>149</v>
      </c>
      <c r="G96" s="44" t="s">
        <v>800</v>
      </c>
      <c r="H96" s="42" t="s">
        <v>801</v>
      </c>
      <c r="I96" s="43" t="s">
        <v>802</v>
      </c>
      <c r="J96" s="45" t="s">
        <v>803</v>
      </c>
      <c r="K96" s="42" t="s">
        <v>7</v>
      </c>
      <c r="L96" s="42" t="s">
        <v>764</v>
      </c>
      <c r="M96" s="43" t="s">
        <v>5</v>
      </c>
      <c r="N96" s="43" t="s">
        <v>192</v>
      </c>
      <c r="O96" s="43" t="s">
        <v>236</v>
      </c>
    </row>
    <row r="97" spans="1:15" ht="41.25" customHeight="1" x14ac:dyDescent="0.3">
      <c r="A97" s="42" t="s">
        <v>804</v>
      </c>
      <c r="B97" s="43" t="s">
        <v>805</v>
      </c>
      <c r="C97" s="42" t="s">
        <v>62</v>
      </c>
      <c r="D97" s="42" t="s">
        <v>166</v>
      </c>
      <c r="E97" s="42" t="s">
        <v>148</v>
      </c>
      <c r="F97" s="43" t="s">
        <v>806</v>
      </c>
      <c r="G97" s="44" t="s">
        <v>807</v>
      </c>
      <c r="H97" s="42" t="s">
        <v>808</v>
      </c>
      <c r="I97" s="43" t="s">
        <v>809</v>
      </c>
      <c r="J97" s="45" t="s">
        <v>810</v>
      </c>
      <c r="K97" s="42" t="s">
        <v>7</v>
      </c>
      <c r="L97" s="42" t="s">
        <v>764</v>
      </c>
      <c r="M97" s="43" t="s">
        <v>5</v>
      </c>
      <c r="N97" s="43" t="s">
        <v>192</v>
      </c>
      <c r="O97" s="43" t="s">
        <v>729</v>
      </c>
    </row>
    <row r="98" spans="1:15" ht="41.25" customHeight="1" x14ac:dyDescent="0.3">
      <c r="A98" s="42" t="s">
        <v>811</v>
      </c>
      <c r="B98" s="43" t="s">
        <v>812</v>
      </c>
      <c r="C98" s="42" t="s">
        <v>62</v>
      </c>
      <c r="D98" s="42" t="s">
        <v>231</v>
      </c>
      <c r="E98" s="42" t="s">
        <v>148</v>
      </c>
      <c r="F98" s="43" t="s">
        <v>149</v>
      </c>
      <c r="G98" s="44" t="s">
        <v>813</v>
      </c>
      <c r="H98" s="42" t="s">
        <v>233</v>
      </c>
      <c r="I98" s="43" t="s">
        <v>814</v>
      </c>
      <c r="J98" s="45" t="s">
        <v>815</v>
      </c>
      <c r="K98" s="42" t="s">
        <v>7</v>
      </c>
      <c r="L98" s="42" t="s">
        <v>764</v>
      </c>
      <c r="M98" s="43" t="s">
        <v>5</v>
      </c>
      <c r="N98" s="43" t="s">
        <v>192</v>
      </c>
      <c r="O98" s="43" t="s">
        <v>236</v>
      </c>
    </row>
    <row r="99" spans="1:15" ht="41.25" customHeight="1" x14ac:dyDescent="0.3">
      <c r="A99" s="42" t="s">
        <v>816</v>
      </c>
      <c r="B99" s="43" t="s">
        <v>817</v>
      </c>
      <c r="C99" s="42" t="s">
        <v>63</v>
      </c>
      <c r="D99" s="42" t="s">
        <v>166</v>
      </c>
      <c r="E99" s="42" t="s">
        <v>148</v>
      </c>
      <c r="F99" s="43" t="s">
        <v>149</v>
      </c>
      <c r="G99" s="44" t="s">
        <v>818</v>
      </c>
      <c r="H99" s="42" t="s">
        <v>819</v>
      </c>
      <c r="I99" s="43" t="s">
        <v>820</v>
      </c>
      <c r="J99" s="45" t="s">
        <v>821</v>
      </c>
      <c r="K99" s="42" t="s">
        <v>7</v>
      </c>
      <c r="L99" s="42" t="s">
        <v>822</v>
      </c>
      <c r="M99" s="43" t="s">
        <v>5</v>
      </c>
      <c r="N99" s="43" t="s">
        <v>192</v>
      </c>
      <c r="O99" s="43" t="s">
        <v>823</v>
      </c>
    </row>
    <row r="100" spans="1:15" ht="41.25" customHeight="1" x14ac:dyDescent="0.3">
      <c r="A100" s="42" t="s">
        <v>824</v>
      </c>
      <c r="B100" s="43" t="s">
        <v>825</v>
      </c>
      <c r="C100" s="42" t="s">
        <v>63</v>
      </c>
      <c r="D100" s="42" t="s">
        <v>147</v>
      </c>
      <c r="E100" s="42" t="s">
        <v>148</v>
      </c>
      <c r="F100" s="43" t="s">
        <v>826</v>
      </c>
      <c r="G100" s="44" t="s">
        <v>827</v>
      </c>
      <c r="H100" s="42" t="s">
        <v>828</v>
      </c>
      <c r="I100" s="43" t="s">
        <v>829</v>
      </c>
      <c r="J100" s="45" t="s">
        <v>830</v>
      </c>
      <c r="K100" s="42" t="s">
        <v>7</v>
      </c>
      <c r="L100" s="42" t="s">
        <v>822</v>
      </c>
      <c r="M100" s="43" t="s">
        <v>5</v>
      </c>
      <c r="N100" s="46" t="s">
        <v>155</v>
      </c>
      <c r="O100" s="43" t="s">
        <v>831</v>
      </c>
    </row>
    <row r="101" spans="1:15" ht="41.25" customHeight="1" x14ac:dyDescent="0.3">
      <c r="A101" s="42" t="s">
        <v>832</v>
      </c>
      <c r="B101" s="43" t="s">
        <v>833</v>
      </c>
      <c r="C101" s="42" t="s">
        <v>63</v>
      </c>
      <c r="D101" s="42" t="s">
        <v>166</v>
      </c>
      <c r="E101" s="42" t="s">
        <v>203</v>
      </c>
      <c r="F101" s="43" t="s">
        <v>834</v>
      </c>
      <c r="G101" s="44" t="s">
        <v>835</v>
      </c>
      <c r="H101" s="42" t="s">
        <v>836</v>
      </c>
      <c r="I101" s="43" t="s">
        <v>837</v>
      </c>
      <c r="J101" s="45" t="s">
        <v>838</v>
      </c>
      <c r="K101" s="42" t="s">
        <v>7</v>
      </c>
      <c r="L101" s="42" t="s">
        <v>822</v>
      </c>
      <c r="M101" s="43" t="s">
        <v>5</v>
      </c>
      <c r="N101" s="43" t="s">
        <v>192</v>
      </c>
      <c r="O101" s="43" t="s">
        <v>839</v>
      </c>
    </row>
    <row r="102" spans="1:15" ht="41.25" customHeight="1" x14ac:dyDescent="0.3">
      <c r="A102" s="42" t="s">
        <v>840</v>
      </c>
      <c r="B102" s="43" t="s">
        <v>841</v>
      </c>
      <c r="C102" s="42" t="s">
        <v>63</v>
      </c>
      <c r="D102" s="42" t="s">
        <v>166</v>
      </c>
      <c r="E102" s="42" t="s">
        <v>203</v>
      </c>
      <c r="F102" s="43" t="s">
        <v>842</v>
      </c>
      <c r="G102" s="44" t="s">
        <v>843</v>
      </c>
      <c r="H102" s="42" t="s">
        <v>844</v>
      </c>
      <c r="I102" s="43" t="s">
        <v>845</v>
      </c>
      <c r="J102" s="45" t="s">
        <v>846</v>
      </c>
      <c r="K102" s="42" t="s">
        <v>7</v>
      </c>
      <c r="L102" s="42" t="s">
        <v>822</v>
      </c>
      <c r="M102" s="43" t="s">
        <v>5</v>
      </c>
      <c r="N102" s="43" t="s">
        <v>192</v>
      </c>
      <c r="O102" s="43" t="s">
        <v>847</v>
      </c>
    </row>
    <row r="103" spans="1:15" ht="41.25" customHeight="1" x14ac:dyDescent="0.3">
      <c r="A103" s="42" t="s">
        <v>848</v>
      </c>
      <c r="B103" s="43" t="s">
        <v>849</v>
      </c>
      <c r="C103" s="42" t="s">
        <v>63</v>
      </c>
      <c r="D103" s="42" t="s">
        <v>166</v>
      </c>
      <c r="E103" s="42" t="s">
        <v>203</v>
      </c>
      <c r="F103" s="43" t="s">
        <v>149</v>
      </c>
      <c r="G103" s="44" t="s">
        <v>850</v>
      </c>
      <c r="H103" s="42" t="s">
        <v>851</v>
      </c>
      <c r="I103" s="43" t="s">
        <v>852</v>
      </c>
      <c r="J103" s="45" t="s">
        <v>853</v>
      </c>
      <c r="K103" s="42" t="s">
        <v>7</v>
      </c>
      <c r="L103" s="42" t="s">
        <v>822</v>
      </c>
      <c r="M103" s="43" t="s">
        <v>5</v>
      </c>
      <c r="N103" s="43" t="s">
        <v>192</v>
      </c>
      <c r="O103" s="43" t="s">
        <v>854</v>
      </c>
    </row>
    <row r="104" spans="1:15" ht="41.25" customHeight="1" x14ac:dyDescent="0.3">
      <c r="A104" s="42" t="s">
        <v>855</v>
      </c>
      <c r="B104" s="43" t="s">
        <v>856</v>
      </c>
      <c r="C104" s="42" t="s">
        <v>63</v>
      </c>
      <c r="D104" s="42" t="s">
        <v>166</v>
      </c>
      <c r="E104" s="42" t="s">
        <v>148</v>
      </c>
      <c r="F104" s="43" t="s">
        <v>857</v>
      </c>
      <c r="G104" s="44" t="s">
        <v>858</v>
      </c>
      <c r="H104" s="42" t="s">
        <v>859</v>
      </c>
      <c r="I104" s="43" t="s">
        <v>860</v>
      </c>
      <c r="J104" s="45" t="s">
        <v>861</v>
      </c>
      <c r="K104" s="42" t="s">
        <v>7</v>
      </c>
      <c r="L104" s="42" t="s">
        <v>822</v>
      </c>
      <c r="M104" s="43" t="s">
        <v>5</v>
      </c>
      <c r="N104" s="43" t="s">
        <v>192</v>
      </c>
      <c r="O104" s="43" t="s">
        <v>862</v>
      </c>
    </row>
    <row r="105" spans="1:15" ht="41.25" customHeight="1" x14ac:dyDescent="0.3">
      <c r="A105" s="42" t="s">
        <v>863</v>
      </c>
      <c r="B105" s="43" t="s">
        <v>864</v>
      </c>
      <c r="C105" s="42" t="s">
        <v>63</v>
      </c>
      <c r="D105" s="42" t="s">
        <v>166</v>
      </c>
      <c r="E105" s="42" t="s">
        <v>203</v>
      </c>
      <c r="F105" s="43" t="s">
        <v>834</v>
      </c>
      <c r="G105" s="44" t="s">
        <v>865</v>
      </c>
      <c r="H105" s="42" t="s">
        <v>866</v>
      </c>
      <c r="I105" s="43" t="s">
        <v>297</v>
      </c>
      <c r="J105" s="45" t="s">
        <v>867</v>
      </c>
      <c r="K105" s="42" t="s">
        <v>7</v>
      </c>
      <c r="L105" s="42" t="s">
        <v>822</v>
      </c>
      <c r="M105" s="43" t="s">
        <v>5</v>
      </c>
      <c r="N105" s="43" t="s">
        <v>192</v>
      </c>
      <c r="O105" s="43" t="s">
        <v>868</v>
      </c>
    </row>
    <row r="106" spans="1:15" ht="54.75" customHeight="1" x14ac:dyDescent="0.3">
      <c r="A106" s="42" t="s">
        <v>869</v>
      </c>
      <c r="B106" s="43" t="s">
        <v>870</v>
      </c>
      <c r="C106" s="42" t="s">
        <v>63</v>
      </c>
      <c r="D106" s="42" t="s">
        <v>166</v>
      </c>
      <c r="E106" s="42" t="s">
        <v>273</v>
      </c>
      <c r="F106" s="43" t="s">
        <v>834</v>
      </c>
      <c r="G106" s="44" t="s">
        <v>871</v>
      </c>
      <c r="H106" s="42" t="s">
        <v>872</v>
      </c>
      <c r="I106" s="43" t="s">
        <v>873</v>
      </c>
      <c r="J106" s="45" t="s">
        <v>874</v>
      </c>
      <c r="K106" s="42" t="s">
        <v>7</v>
      </c>
      <c r="L106" s="42" t="s">
        <v>822</v>
      </c>
      <c r="M106" s="43" t="s">
        <v>5</v>
      </c>
      <c r="N106" s="43" t="s">
        <v>192</v>
      </c>
      <c r="O106" s="43" t="s">
        <v>868</v>
      </c>
    </row>
    <row r="107" spans="1:15" ht="41.25" customHeight="1" x14ac:dyDescent="0.3">
      <c r="A107" s="42" t="s">
        <v>875</v>
      </c>
      <c r="B107" s="43" t="s">
        <v>876</v>
      </c>
      <c r="C107" s="42" t="s">
        <v>63</v>
      </c>
      <c r="D107" s="42" t="s">
        <v>166</v>
      </c>
      <c r="E107" s="42" t="s">
        <v>203</v>
      </c>
      <c r="F107" s="43" t="s">
        <v>842</v>
      </c>
      <c r="G107" s="44" t="s">
        <v>877</v>
      </c>
      <c r="H107" s="42" t="s">
        <v>878</v>
      </c>
      <c r="I107" s="43" t="s">
        <v>879</v>
      </c>
      <c r="J107" s="45" t="s">
        <v>880</v>
      </c>
      <c r="K107" s="42" t="s">
        <v>7</v>
      </c>
      <c r="L107" s="42" t="s">
        <v>822</v>
      </c>
      <c r="M107" s="43" t="s">
        <v>5</v>
      </c>
      <c r="N107" s="43" t="s">
        <v>192</v>
      </c>
      <c r="O107" s="43" t="s">
        <v>868</v>
      </c>
    </row>
    <row r="108" spans="1:15" ht="41.25" customHeight="1" x14ac:dyDescent="0.3">
      <c r="A108" s="42" t="s">
        <v>881</v>
      </c>
      <c r="B108" s="43" t="s">
        <v>882</v>
      </c>
      <c r="C108" s="42" t="s">
        <v>63</v>
      </c>
      <c r="D108" s="42" t="s">
        <v>166</v>
      </c>
      <c r="E108" s="42" t="s">
        <v>148</v>
      </c>
      <c r="F108" s="43" t="s">
        <v>842</v>
      </c>
      <c r="G108" s="44" t="s">
        <v>883</v>
      </c>
      <c r="H108" s="42" t="s">
        <v>884</v>
      </c>
      <c r="I108" s="43" t="s">
        <v>885</v>
      </c>
      <c r="J108" s="45" t="s">
        <v>886</v>
      </c>
      <c r="K108" s="42" t="s">
        <v>7</v>
      </c>
      <c r="L108" s="42" t="s">
        <v>822</v>
      </c>
      <c r="M108" s="43" t="s">
        <v>5</v>
      </c>
      <c r="N108" s="43" t="s">
        <v>192</v>
      </c>
      <c r="O108" s="43" t="s">
        <v>868</v>
      </c>
    </row>
    <row r="109" spans="1:15" ht="41.25" customHeight="1" x14ac:dyDescent="0.3">
      <c r="A109" s="42" t="s">
        <v>887</v>
      </c>
      <c r="B109" s="43" t="s">
        <v>888</v>
      </c>
      <c r="C109" s="42" t="s">
        <v>63</v>
      </c>
      <c r="D109" s="42" t="s">
        <v>147</v>
      </c>
      <c r="E109" s="42" t="s">
        <v>148</v>
      </c>
      <c r="F109" s="43" t="s">
        <v>857</v>
      </c>
      <c r="G109" s="44" t="s">
        <v>889</v>
      </c>
      <c r="H109" s="42" t="s">
        <v>890</v>
      </c>
      <c r="I109" s="43" t="s">
        <v>891</v>
      </c>
      <c r="J109" s="45" t="s">
        <v>892</v>
      </c>
      <c r="K109" s="42" t="s">
        <v>7</v>
      </c>
      <c r="L109" s="42" t="s">
        <v>822</v>
      </c>
      <c r="M109" s="43" t="s">
        <v>5</v>
      </c>
      <c r="N109" s="46" t="s">
        <v>155</v>
      </c>
      <c r="O109" s="43" t="s">
        <v>893</v>
      </c>
    </row>
    <row r="110" spans="1:15" ht="41.25" customHeight="1" x14ac:dyDescent="0.3">
      <c r="A110" s="42" t="s">
        <v>894</v>
      </c>
      <c r="B110" s="43" t="s">
        <v>895</v>
      </c>
      <c r="C110" s="42" t="s">
        <v>63</v>
      </c>
      <c r="D110" s="42" t="s">
        <v>147</v>
      </c>
      <c r="E110" s="42" t="s">
        <v>203</v>
      </c>
      <c r="F110" s="43" t="s">
        <v>896</v>
      </c>
      <c r="G110" s="44" t="s">
        <v>897</v>
      </c>
      <c r="H110" s="42" t="s">
        <v>898</v>
      </c>
      <c r="I110" s="43" t="s">
        <v>899</v>
      </c>
      <c r="J110" s="45" t="s">
        <v>900</v>
      </c>
      <c r="K110" s="42" t="s">
        <v>7</v>
      </c>
      <c r="L110" s="42" t="s">
        <v>822</v>
      </c>
      <c r="M110" s="43" t="s">
        <v>5</v>
      </c>
      <c r="N110" s="46" t="s">
        <v>155</v>
      </c>
      <c r="O110" s="43" t="s">
        <v>901</v>
      </c>
    </row>
    <row r="111" spans="1:15" ht="41.25" customHeight="1" x14ac:dyDescent="0.3">
      <c r="A111" s="42" t="s">
        <v>902</v>
      </c>
      <c r="B111" s="43" t="s">
        <v>903</v>
      </c>
      <c r="C111" s="42" t="s">
        <v>64</v>
      </c>
      <c r="D111" s="42" t="s">
        <v>147</v>
      </c>
      <c r="E111" s="42" t="s">
        <v>148</v>
      </c>
      <c r="F111" s="43" t="s">
        <v>149</v>
      </c>
      <c r="G111" s="44" t="s">
        <v>904</v>
      </c>
      <c r="H111" s="42" t="s">
        <v>905</v>
      </c>
      <c r="I111" s="43" t="s">
        <v>906</v>
      </c>
      <c r="J111" s="45" t="s">
        <v>907</v>
      </c>
      <c r="K111" s="42" t="s">
        <v>7</v>
      </c>
      <c r="L111" s="42" t="s">
        <v>908</v>
      </c>
      <c r="M111" s="43" t="s">
        <v>5</v>
      </c>
      <c r="N111" s="46" t="s">
        <v>155</v>
      </c>
      <c r="O111" s="43" t="s">
        <v>909</v>
      </c>
    </row>
    <row r="112" spans="1:15" ht="41.25" customHeight="1" x14ac:dyDescent="0.3">
      <c r="A112" s="42" t="s">
        <v>910</v>
      </c>
      <c r="B112" s="43" t="s">
        <v>911</v>
      </c>
      <c r="C112" s="42" t="s">
        <v>64</v>
      </c>
      <c r="D112" s="42" t="s">
        <v>147</v>
      </c>
      <c r="E112" s="42" t="s">
        <v>203</v>
      </c>
      <c r="F112" s="43" t="s">
        <v>912</v>
      </c>
      <c r="G112" s="44" t="s">
        <v>913</v>
      </c>
      <c r="H112" s="42" t="s">
        <v>851</v>
      </c>
      <c r="I112" s="43" t="s">
        <v>914</v>
      </c>
      <c r="J112" s="45" t="s">
        <v>915</v>
      </c>
      <c r="K112" s="42" t="s">
        <v>7</v>
      </c>
      <c r="L112" s="42" t="s">
        <v>908</v>
      </c>
      <c r="M112" s="43" t="s">
        <v>5</v>
      </c>
      <c r="N112" s="43" t="s">
        <v>192</v>
      </c>
      <c r="O112" s="43" t="s">
        <v>916</v>
      </c>
    </row>
    <row r="113" spans="1:15" ht="41.25" customHeight="1" x14ac:dyDescent="0.3">
      <c r="A113" s="42" t="s">
        <v>917</v>
      </c>
      <c r="B113" s="43" t="s">
        <v>918</v>
      </c>
      <c r="C113" s="42" t="s">
        <v>64</v>
      </c>
      <c r="D113" s="42" t="s">
        <v>166</v>
      </c>
      <c r="E113" s="42" t="s">
        <v>203</v>
      </c>
      <c r="F113" s="43" t="s">
        <v>912</v>
      </c>
      <c r="G113" s="44" t="s">
        <v>919</v>
      </c>
      <c r="H113" s="42" t="s">
        <v>920</v>
      </c>
      <c r="I113" s="43" t="s">
        <v>921</v>
      </c>
      <c r="J113" s="45" t="s">
        <v>922</v>
      </c>
      <c r="K113" s="42" t="s">
        <v>7</v>
      </c>
      <c r="L113" s="42" t="s">
        <v>908</v>
      </c>
      <c r="M113" s="43" t="s">
        <v>5</v>
      </c>
      <c r="N113" s="43" t="s">
        <v>192</v>
      </c>
      <c r="O113" s="43" t="s">
        <v>923</v>
      </c>
    </row>
    <row r="114" spans="1:15" ht="54.75" customHeight="1" x14ac:dyDescent="0.3">
      <c r="A114" s="42" t="s">
        <v>924</v>
      </c>
      <c r="B114" s="43" t="s">
        <v>925</v>
      </c>
      <c r="C114" s="42" t="s">
        <v>64</v>
      </c>
      <c r="D114" s="42" t="s">
        <v>147</v>
      </c>
      <c r="E114" s="42" t="s">
        <v>203</v>
      </c>
      <c r="F114" s="43" t="s">
        <v>926</v>
      </c>
      <c r="G114" s="44" t="s">
        <v>927</v>
      </c>
      <c r="H114" s="42" t="s">
        <v>928</v>
      </c>
      <c r="I114" s="43" t="s">
        <v>929</v>
      </c>
      <c r="J114" s="45" t="s">
        <v>930</v>
      </c>
      <c r="K114" s="42" t="s">
        <v>7</v>
      </c>
      <c r="L114" s="42" t="s">
        <v>908</v>
      </c>
      <c r="M114" s="43" t="s">
        <v>5</v>
      </c>
      <c r="N114" s="43" t="s">
        <v>192</v>
      </c>
      <c r="O114" s="43" t="s">
        <v>931</v>
      </c>
    </row>
    <row r="115" spans="1:15" ht="54.75" customHeight="1" x14ac:dyDescent="0.3">
      <c r="A115" s="42" t="s">
        <v>932</v>
      </c>
      <c r="B115" s="43" t="s">
        <v>933</v>
      </c>
      <c r="C115" s="42" t="s">
        <v>64</v>
      </c>
      <c r="D115" s="42" t="s">
        <v>166</v>
      </c>
      <c r="E115" s="42" t="s">
        <v>148</v>
      </c>
      <c r="F115" s="43" t="s">
        <v>926</v>
      </c>
      <c r="G115" s="44" t="s">
        <v>934</v>
      </c>
      <c r="H115" s="42" t="s">
        <v>935</v>
      </c>
      <c r="I115" s="43" t="s">
        <v>936</v>
      </c>
      <c r="J115" s="45" t="s">
        <v>937</v>
      </c>
      <c r="K115" s="42" t="s">
        <v>7</v>
      </c>
      <c r="L115" s="42" t="s">
        <v>908</v>
      </c>
      <c r="M115" s="43" t="s">
        <v>5</v>
      </c>
      <c r="N115" s="43" t="s">
        <v>192</v>
      </c>
      <c r="O115" s="43" t="s">
        <v>931</v>
      </c>
    </row>
    <row r="116" spans="1:15" ht="54.75" customHeight="1" x14ac:dyDescent="0.3">
      <c r="A116" s="42" t="s">
        <v>938</v>
      </c>
      <c r="B116" s="43" t="s">
        <v>939</v>
      </c>
      <c r="C116" s="42" t="s">
        <v>64</v>
      </c>
      <c r="D116" s="42" t="s">
        <v>147</v>
      </c>
      <c r="E116" s="42" t="s">
        <v>148</v>
      </c>
      <c r="F116" s="43" t="s">
        <v>926</v>
      </c>
      <c r="G116" s="44" t="s">
        <v>940</v>
      </c>
      <c r="H116" s="42" t="s">
        <v>941</v>
      </c>
      <c r="I116" s="43" t="s">
        <v>942</v>
      </c>
      <c r="J116" s="45" t="s">
        <v>943</v>
      </c>
      <c r="K116" s="42" t="s">
        <v>7</v>
      </c>
      <c r="L116" s="42" t="s">
        <v>908</v>
      </c>
      <c r="M116" s="43" t="s">
        <v>5</v>
      </c>
      <c r="N116" s="46" t="s">
        <v>155</v>
      </c>
      <c r="O116" s="43" t="s">
        <v>944</v>
      </c>
    </row>
    <row r="117" spans="1:15" ht="54.75" customHeight="1" x14ac:dyDescent="0.3">
      <c r="A117" s="42" t="s">
        <v>945</v>
      </c>
      <c r="B117" s="43" t="s">
        <v>946</v>
      </c>
      <c r="C117" s="42" t="s">
        <v>64</v>
      </c>
      <c r="D117" s="42" t="s">
        <v>166</v>
      </c>
      <c r="E117" s="42" t="s">
        <v>203</v>
      </c>
      <c r="F117" s="43" t="s">
        <v>926</v>
      </c>
      <c r="G117" s="44" t="s">
        <v>947</v>
      </c>
      <c r="H117" s="42" t="s">
        <v>948</v>
      </c>
      <c r="I117" s="43" t="s">
        <v>949</v>
      </c>
      <c r="J117" s="45" t="s">
        <v>950</v>
      </c>
      <c r="K117" s="42" t="s">
        <v>7</v>
      </c>
      <c r="L117" s="42" t="s">
        <v>908</v>
      </c>
      <c r="M117" s="43" t="s">
        <v>5</v>
      </c>
      <c r="N117" s="43" t="s">
        <v>192</v>
      </c>
      <c r="O117" s="43" t="s">
        <v>931</v>
      </c>
    </row>
    <row r="118" spans="1:15" ht="54.75" customHeight="1" x14ac:dyDescent="0.3">
      <c r="A118" s="42" t="s">
        <v>951</v>
      </c>
      <c r="B118" s="43" t="s">
        <v>952</v>
      </c>
      <c r="C118" s="42" t="s">
        <v>64</v>
      </c>
      <c r="D118" s="42" t="s">
        <v>231</v>
      </c>
      <c r="E118" s="42" t="s">
        <v>273</v>
      </c>
      <c r="F118" s="43" t="s">
        <v>926</v>
      </c>
      <c r="G118" s="44" t="s">
        <v>953</v>
      </c>
      <c r="H118" s="42" t="s">
        <v>954</v>
      </c>
      <c r="I118" s="43" t="s">
        <v>955</v>
      </c>
      <c r="J118" s="45" t="s">
        <v>956</v>
      </c>
      <c r="K118" s="42" t="s">
        <v>7</v>
      </c>
      <c r="L118" s="42" t="s">
        <v>908</v>
      </c>
      <c r="M118" s="43" t="s">
        <v>5</v>
      </c>
      <c r="N118" s="43" t="s">
        <v>192</v>
      </c>
      <c r="O118" s="43" t="s">
        <v>931</v>
      </c>
    </row>
    <row r="119" spans="1:15" ht="54.75" customHeight="1" x14ac:dyDescent="0.3">
      <c r="A119" s="42" t="s">
        <v>957</v>
      </c>
      <c r="B119" s="43" t="s">
        <v>958</v>
      </c>
      <c r="C119" s="42" t="s">
        <v>64</v>
      </c>
      <c r="D119" s="42" t="s">
        <v>166</v>
      </c>
      <c r="E119" s="42" t="s">
        <v>273</v>
      </c>
      <c r="F119" s="43" t="s">
        <v>926</v>
      </c>
      <c r="G119" s="44" t="s">
        <v>959</v>
      </c>
      <c r="H119" s="42" t="s">
        <v>960</v>
      </c>
      <c r="I119" s="43" t="s">
        <v>961</v>
      </c>
      <c r="J119" s="45" t="s">
        <v>962</v>
      </c>
      <c r="K119" s="42" t="s">
        <v>7</v>
      </c>
      <c r="L119" s="42" t="s">
        <v>908</v>
      </c>
      <c r="M119" s="43" t="s">
        <v>5</v>
      </c>
      <c r="N119" s="43" t="s">
        <v>192</v>
      </c>
      <c r="O119" s="43" t="s">
        <v>931</v>
      </c>
    </row>
    <row r="120" spans="1:15" ht="54.75" customHeight="1" x14ac:dyDescent="0.3">
      <c r="A120" s="42" t="s">
        <v>963</v>
      </c>
      <c r="B120" s="43" t="s">
        <v>964</v>
      </c>
      <c r="C120" s="42" t="s">
        <v>64</v>
      </c>
      <c r="D120" s="42" t="s">
        <v>166</v>
      </c>
      <c r="E120" s="42" t="s">
        <v>273</v>
      </c>
      <c r="F120" s="43" t="s">
        <v>926</v>
      </c>
      <c r="G120" s="44" t="s">
        <v>965</v>
      </c>
      <c r="H120" s="42" t="s">
        <v>966</v>
      </c>
      <c r="I120" s="43" t="s">
        <v>967</v>
      </c>
      <c r="J120" s="45" t="s">
        <v>968</v>
      </c>
      <c r="K120" s="42" t="s">
        <v>7</v>
      </c>
      <c r="L120" s="42" t="s">
        <v>908</v>
      </c>
      <c r="M120" s="43" t="s">
        <v>5</v>
      </c>
      <c r="N120" s="43" t="s">
        <v>192</v>
      </c>
      <c r="O120" s="43" t="s">
        <v>931</v>
      </c>
    </row>
    <row r="121" spans="1:15" ht="54.75" customHeight="1" x14ac:dyDescent="0.3">
      <c r="A121" s="42" t="s">
        <v>969</v>
      </c>
      <c r="B121" s="43" t="s">
        <v>970</v>
      </c>
      <c r="C121" s="42" t="s">
        <v>64</v>
      </c>
      <c r="D121" s="42" t="s">
        <v>231</v>
      </c>
      <c r="E121" s="42" t="s">
        <v>203</v>
      </c>
      <c r="F121" s="43" t="s">
        <v>926</v>
      </c>
      <c r="G121" s="44" t="s">
        <v>971</v>
      </c>
      <c r="H121" s="42" t="s">
        <v>972</v>
      </c>
      <c r="I121" s="43" t="s">
        <v>921</v>
      </c>
      <c r="J121" s="45" t="s">
        <v>922</v>
      </c>
      <c r="K121" s="42" t="s">
        <v>7</v>
      </c>
      <c r="L121" s="42" t="s">
        <v>908</v>
      </c>
      <c r="M121" s="43" t="s">
        <v>5</v>
      </c>
      <c r="N121" s="43" t="s">
        <v>192</v>
      </c>
      <c r="O121" s="43" t="s">
        <v>931</v>
      </c>
    </row>
    <row r="122" spans="1:15" ht="54.75" customHeight="1" x14ac:dyDescent="0.3">
      <c r="A122" s="42" t="s">
        <v>973</v>
      </c>
      <c r="B122" s="43" t="s">
        <v>974</v>
      </c>
      <c r="C122" s="42" t="s">
        <v>64</v>
      </c>
      <c r="D122" s="42" t="s">
        <v>231</v>
      </c>
      <c r="E122" s="42" t="s">
        <v>273</v>
      </c>
      <c r="F122" s="43" t="s">
        <v>926</v>
      </c>
      <c r="G122" s="44" t="s">
        <v>975</v>
      </c>
      <c r="H122" s="42" t="s">
        <v>976</v>
      </c>
      <c r="I122" s="43" t="s">
        <v>977</v>
      </c>
      <c r="J122" s="45" t="s">
        <v>978</v>
      </c>
      <c r="K122" s="42" t="s">
        <v>8</v>
      </c>
      <c r="L122" s="42" t="s">
        <v>908</v>
      </c>
      <c r="M122" s="43" t="s">
        <v>5</v>
      </c>
      <c r="N122" s="43" t="s">
        <v>192</v>
      </c>
      <c r="O122" s="43" t="s">
        <v>931</v>
      </c>
    </row>
    <row r="123" spans="1:15" ht="54.75" customHeight="1" x14ac:dyDescent="0.3">
      <c r="A123" s="42" t="s">
        <v>979</v>
      </c>
      <c r="B123" s="43" t="s">
        <v>980</v>
      </c>
      <c r="C123" s="42" t="s">
        <v>65</v>
      </c>
      <c r="D123" s="42" t="s">
        <v>166</v>
      </c>
      <c r="E123" s="42" t="s">
        <v>148</v>
      </c>
      <c r="F123" s="43" t="s">
        <v>670</v>
      </c>
      <c r="G123" s="44" t="s">
        <v>981</v>
      </c>
      <c r="H123" s="42" t="s">
        <v>982</v>
      </c>
      <c r="I123" s="43" t="s">
        <v>983</v>
      </c>
      <c r="J123" s="45" t="s">
        <v>984</v>
      </c>
      <c r="K123" s="42" t="s">
        <v>7</v>
      </c>
      <c r="L123" s="42" t="s">
        <v>985</v>
      </c>
      <c r="M123" s="43" t="s">
        <v>5</v>
      </c>
      <c r="N123" s="43" t="s">
        <v>192</v>
      </c>
      <c r="O123" s="43" t="s">
        <v>986</v>
      </c>
    </row>
    <row r="124" spans="1:15" ht="41.25" customHeight="1" x14ac:dyDescent="0.3">
      <c r="A124" s="42" t="s">
        <v>987</v>
      </c>
      <c r="B124" s="43" t="s">
        <v>988</v>
      </c>
      <c r="C124" s="42" t="s">
        <v>66</v>
      </c>
      <c r="D124" s="42" t="s">
        <v>166</v>
      </c>
      <c r="E124" s="42" t="s">
        <v>66</v>
      </c>
      <c r="F124" s="43" t="s">
        <v>149</v>
      </c>
      <c r="G124" s="44" t="s">
        <v>989</v>
      </c>
      <c r="H124" s="42" t="s">
        <v>990</v>
      </c>
      <c r="I124" s="43" t="s">
        <v>991</v>
      </c>
      <c r="J124" s="45" t="s">
        <v>992</v>
      </c>
      <c r="K124" s="42" t="s">
        <v>7</v>
      </c>
      <c r="L124" s="42" t="s">
        <v>993</v>
      </c>
      <c r="M124" s="43" t="s">
        <v>5</v>
      </c>
      <c r="N124" s="43" t="s">
        <v>192</v>
      </c>
      <c r="O124" s="43" t="s">
        <v>396</v>
      </c>
    </row>
    <row r="125" spans="1:15" ht="54.75" customHeight="1" x14ac:dyDescent="0.3">
      <c r="A125" s="42" t="s">
        <v>994</v>
      </c>
      <c r="B125" s="43" t="s">
        <v>995</v>
      </c>
      <c r="C125" s="42" t="s">
        <v>66</v>
      </c>
      <c r="D125" s="42" t="s">
        <v>231</v>
      </c>
      <c r="E125" s="42" t="s">
        <v>66</v>
      </c>
      <c r="F125" s="43" t="s">
        <v>560</v>
      </c>
      <c r="G125" s="44" t="s">
        <v>996</v>
      </c>
      <c r="H125" s="42" t="s">
        <v>997</v>
      </c>
      <c r="I125" s="43" t="s">
        <v>998</v>
      </c>
      <c r="J125" s="45" t="s">
        <v>999</v>
      </c>
      <c r="K125" s="42" t="s">
        <v>7</v>
      </c>
      <c r="L125" s="42" t="s">
        <v>993</v>
      </c>
      <c r="M125" s="43" t="s">
        <v>5</v>
      </c>
      <c r="N125" s="43" t="s">
        <v>192</v>
      </c>
      <c r="O125" s="43" t="s">
        <v>1000</v>
      </c>
    </row>
    <row r="126" spans="1:15" ht="41.25" customHeight="1" x14ac:dyDescent="0.3">
      <c r="A126" s="42" t="s">
        <v>1001</v>
      </c>
      <c r="B126" s="43" t="s">
        <v>1002</v>
      </c>
      <c r="C126" s="42" t="s">
        <v>66</v>
      </c>
      <c r="D126" s="42" t="s">
        <v>166</v>
      </c>
      <c r="E126" s="42" t="s">
        <v>66</v>
      </c>
      <c r="F126" s="43" t="s">
        <v>1003</v>
      </c>
      <c r="G126" s="44" t="s">
        <v>1004</v>
      </c>
      <c r="H126" s="42" t="s">
        <v>1005</v>
      </c>
      <c r="I126" s="43" t="s">
        <v>1006</v>
      </c>
      <c r="J126" s="45" t="s">
        <v>1007</v>
      </c>
      <c r="K126" s="42" t="s">
        <v>7</v>
      </c>
      <c r="L126" s="42" t="s">
        <v>993</v>
      </c>
      <c r="M126" s="43" t="s">
        <v>5</v>
      </c>
      <c r="N126" s="43" t="s">
        <v>192</v>
      </c>
      <c r="O126" s="43" t="s">
        <v>1008</v>
      </c>
    </row>
    <row r="127" spans="1:15" ht="41.25" customHeight="1" x14ac:dyDescent="0.3">
      <c r="A127" s="42" t="s">
        <v>1009</v>
      </c>
      <c r="B127" s="43" t="s">
        <v>1010</v>
      </c>
      <c r="C127" s="42" t="s">
        <v>66</v>
      </c>
      <c r="D127" s="42" t="s">
        <v>231</v>
      </c>
      <c r="E127" s="42" t="s">
        <v>66</v>
      </c>
      <c r="F127" s="43" t="s">
        <v>149</v>
      </c>
      <c r="G127" s="44" t="s">
        <v>1011</v>
      </c>
      <c r="H127" s="42" t="s">
        <v>1012</v>
      </c>
      <c r="I127" s="43" t="s">
        <v>1013</v>
      </c>
      <c r="J127" s="45" t="s">
        <v>1014</v>
      </c>
      <c r="K127" s="42" t="s">
        <v>7</v>
      </c>
      <c r="L127" s="42" t="s">
        <v>993</v>
      </c>
      <c r="M127" s="43" t="s">
        <v>5</v>
      </c>
      <c r="N127" s="43" t="s">
        <v>192</v>
      </c>
      <c r="O127" s="43" t="s">
        <v>396</v>
      </c>
    </row>
    <row r="128" spans="1:15" ht="41.25" customHeight="1" x14ac:dyDescent="0.3">
      <c r="A128" s="42" t="s">
        <v>1015</v>
      </c>
      <c r="B128" s="43" t="s">
        <v>1016</v>
      </c>
      <c r="C128" s="42" t="s">
        <v>66</v>
      </c>
      <c r="D128" s="42" t="s">
        <v>231</v>
      </c>
      <c r="E128" s="42" t="s">
        <v>66</v>
      </c>
      <c r="F128" s="43" t="s">
        <v>149</v>
      </c>
      <c r="G128" s="44" t="s">
        <v>1017</v>
      </c>
      <c r="H128" s="42" t="s">
        <v>1018</v>
      </c>
      <c r="I128" s="43" t="s">
        <v>1019</v>
      </c>
      <c r="J128" s="45" t="s">
        <v>1020</v>
      </c>
      <c r="K128" s="42" t="s">
        <v>7</v>
      </c>
      <c r="L128" s="42" t="s">
        <v>993</v>
      </c>
      <c r="M128" s="43" t="s">
        <v>5</v>
      </c>
      <c r="N128" s="43" t="s">
        <v>192</v>
      </c>
      <c r="O128" s="43" t="s">
        <v>396</v>
      </c>
    </row>
    <row r="129" spans="1:15" ht="41.25" customHeight="1" x14ac:dyDescent="0.3">
      <c r="A129" s="42" t="s">
        <v>1021</v>
      </c>
      <c r="B129" s="43" t="s">
        <v>1022</v>
      </c>
      <c r="C129" s="42" t="s">
        <v>66</v>
      </c>
      <c r="D129" s="42" t="s">
        <v>231</v>
      </c>
      <c r="E129" s="42" t="s">
        <v>66</v>
      </c>
      <c r="F129" s="43" t="s">
        <v>149</v>
      </c>
      <c r="G129" s="44" t="s">
        <v>1023</v>
      </c>
      <c r="H129" s="42" t="s">
        <v>1024</v>
      </c>
      <c r="I129" s="43" t="s">
        <v>1025</v>
      </c>
      <c r="J129" s="45" t="s">
        <v>1026</v>
      </c>
      <c r="K129" s="42" t="s">
        <v>7</v>
      </c>
      <c r="L129" s="42" t="s">
        <v>993</v>
      </c>
      <c r="M129" s="43" t="s">
        <v>5</v>
      </c>
      <c r="N129" s="43" t="s">
        <v>192</v>
      </c>
      <c r="O129" s="43" t="s">
        <v>396</v>
      </c>
    </row>
  </sheetData>
  <autoFilter ref="A1:O136" xr:uid="{00000000-0009-0000-0000-000002000000}"/>
  <dataValidations count="3">
    <dataValidation type="list" allowBlank="1" sqref="K2:K136" xr:uid="{00000000-0002-0000-0200-000000000000}">
      <formula1>"Not Run,PASS ✓,FAIL ✗,Blocked"</formula1>
      <formula2>0</formula2>
    </dataValidation>
    <dataValidation type="list" allowBlank="1" sqref="M2:M136" xr:uid="{00000000-0002-0000-0200-000001000000}">
      <formula1>"Manual,Automation"</formula1>
      <formula2>0</formula2>
    </dataValidation>
    <dataValidation type="list" allowBlank="1" sqref="N2:N136" xr:uid="{00000000-0002-0000-02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24" customWidth="1"/>
    <col min="3" max="3" width="70" customWidth="1"/>
    <col min="4" max="4" width="11" customWidth="1"/>
    <col min="5" max="5" width="14" customWidth="1"/>
    <col min="6" max="6" width="13" customWidth="1"/>
    <col min="7" max="7" width="10" customWidth="1"/>
    <col min="8" max="8" width="18" customWidth="1"/>
  </cols>
  <sheetData>
    <row r="1" spans="1:8" ht="15" customHeight="1" x14ac:dyDescent="0.3">
      <c r="A1" s="39" t="s">
        <v>1027</v>
      </c>
      <c r="B1" s="39" t="s">
        <v>53</v>
      </c>
      <c r="C1" s="39" t="s">
        <v>1028</v>
      </c>
      <c r="D1" s="39" t="s">
        <v>1029</v>
      </c>
      <c r="E1" s="39" t="s">
        <v>1030</v>
      </c>
      <c r="F1" s="39" t="s">
        <v>4</v>
      </c>
      <c r="G1" s="39" t="s">
        <v>5</v>
      </c>
      <c r="H1" s="39" t="s">
        <v>1031</v>
      </c>
    </row>
    <row r="2" spans="1:8" ht="15" customHeight="1" x14ac:dyDescent="0.3">
      <c r="A2" s="42" t="s">
        <v>154</v>
      </c>
      <c r="B2" s="42" t="s">
        <v>54</v>
      </c>
      <c r="C2" s="43" t="s">
        <v>1032</v>
      </c>
      <c r="D2" s="42" t="s">
        <v>147</v>
      </c>
      <c r="E2" s="42">
        <f>COUNTIF('Web Test Cases'!$L:$L,A2)</f>
        <v>14</v>
      </c>
      <c r="F2" s="42">
        <f>COUNTIFS('Web Test Cases'!$L:$L,A2,'Web Test Cases'!$M:$M,"Automation")</f>
        <v>9</v>
      </c>
      <c r="G2" s="42">
        <f>COUNTIFS('Web Test Cases'!$L:$L,A2,'Web Test Cases'!$M:$M,"Manual")</f>
        <v>5</v>
      </c>
      <c r="H2" s="42">
        <f>COUNTIFS('Web Test Cases'!$L:$L,A2,'Web Test Cases'!$N:$N,"Yes")</f>
        <v>9</v>
      </c>
    </row>
    <row r="3" spans="1:8" ht="15" customHeight="1" x14ac:dyDescent="0.3">
      <c r="A3" s="42" t="s">
        <v>256</v>
      </c>
      <c r="B3" s="42" t="s">
        <v>55</v>
      </c>
      <c r="C3" s="43" t="s">
        <v>1033</v>
      </c>
      <c r="D3" s="42" t="s">
        <v>147</v>
      </c>
      <c r="E3" s="42">
        <f>COUNTIF('Web Test Cases'!$L:$L,A3)</f>
        <v>13</v>
      </c>
      <c r="F3" s="42">
        <f>COUNTIFS('Web Test Cases'!$L:$L,A3,'Web Test Cases'!$M:$M,"Automation")</f>
        <v>4</v>
      </c>
      <c r="G3" s="42">
        <f>COUNTIFS('Web Test Cases'!$L:$L,A3,'Web Test Cases'!$M:$M,"Manual")</f>
        <v>9</v>
      </c>
      <c r="H3" s="42">
        <f>COUNTIFS('Web Test Cases'!$L:$L,A3,'Web Test Cases'!$N:$N,"Yes")</f>
        <v>4</v>
      </c>
    </row>
    <row r="4" spans="1:8" ht="15" customHeight="1" x14ac:dyDescent="0.3">
      <c r="A4" s="42" t="s">
        <v>348</v>
      </c>
      <c r="B4" s="42" t="s">
        <v>56</v>
      </c>
      <c r="C4" s="43" t="s">
        <v>1034</v>
      </c>
      <c r="D4" s="42" t="s">
        <v>147</v>
      </c>
      <c r="E4" s="42">
        <f>COUNTIF('Web Test Cases'!$L:$L,A4)</f>
        <v>8</v>
      </c>
      <c r="F4" s="42">
        <f>COUNTIFS('Web Test Cases'!$L:$L,A4,'Web Test Cases'!$M:$M,"Automation")</f>
        <v>1</v>
      </c>
      <c r="G4" s="42">
        <f>COUNTIFS('Web Test Cases'!$L:$L,A4,'Web Test Cases'!$M:$M,"Manual")</f>
        <v>7</v>
      </c>
      <c r="H4" s="42">
        <f>COUNTIFS('Web Test Cases'!$L:$L,A4,'Web Test Cases'!$N:$N,"Yes")</f>
        <v>1</v>
      </c>
    </row>
    <row r="5" spans="1:8" ht="15" customHeight="1" x14ac:dyDescent="0.3">
      <c r="A5" s="42" t="s">
        <v>403</v>
      </c>
      <c r="B5" s="42" t="s">
        <v>57</v>
      </c>
      <c r="C5" s="43" t="s">
        <v>1035</v>
      </c>
      <c r="D5" s="42" t="s">
        <v>166</v>
      </c>
      <c r="E5" s="42">
        <f>COUNTIF('Web Test Cases'!$L:$L,A5)</f>
        <v>25</v>
      </c>
      <c r="F5" s="42">
        <f>COUNTIFS('Web Test Cases'!$L:$L,A5,'Web Test Cases'!$M:$M,"Automation")</f>
        <v>4</v>
      </c>
      <c r="G5" s="42">
        <f>COUNTIFS('Web Test Cases'!$L:$L,A5,'Web Test Cases'!$M:$M,"Manual")</f>
        <v>21</v>
      </c>
      <c r="H5" s="42">
        <f>COUNTIFS('Web Test Cases'!$L:$L,A5,'Web Test Cases'!$N:$N,"Yes")</f>
        <v>4</v>
      </c>
    </row>
    <row r="6" spans="1:8" ht="15" customHeight="1" x14ac:dyDescent="0.3">
      <c r="A6" s="42" t="s">
        <v>565</v>
      </c>
      <c r="B6" s="42" t="s">
        <v>58</v>
      </c>
      <c r="C6" s="43" t="s">
        <v>1036</v>
      </c>
      <c r="D6" s="42" t="s">
        <v>147</v>
      </c>
      <c r="E6" s="42">
        <f>COUNTIF('Web Test Cases'!$L:$L,A6)</f>
        <v>7</v>
      </c>
      <c r="F6" s="42">
        <f>COUNTIFS('Web Test Cases'!$L:$L,A6,'Web Test Cases'!$M:$M,"Automation")</f>
        <v>3</v>
      </c>
      <c r="G6" s="42">
        <f>COUNTIFS('Web Test Cases'!$L:$L,A6,'Web Test Cases'!$M:$M,"Manual")</f>
        <v>4</v>
      </c>
      <c r="H6" s="42">
        <f>COUNTIFS('Web Test Cases'!$L:$L,A6,'Web Test Cases'!$N:$N,"Yes")</f>
        <v>3</v>
      </c>
    </row>
    <row r="7" spans="1:8" ht="15" customHeight="1" x14ac:dyDescent="0.3">
      <c r="A7" s="42" t="s">
        <v>615</v>
      </c>
      <c r="B7" s="42" t="s">
        <v>59</v>
      </c>
      <c r="C7" s="43" t="s">
        <v>1037</v>
      </c>
      <c r="D7" s="42" t="s">
        <v>166</v>
      </c>
      <c r="E7" s="42">
        <f>COUNTIF('Web Test Cases'!$L:$L,A7)</f>
        <v>7</v>
      </c>
      <c r="F7" s="42">
        <f>COUNTIFS('Web Test Cases'!$L:$L,A7,'Web Test Cases'!$M:$M,"Automation")</f>
        <v>1</v>
      </c>
      <c r="G7" s="42">
        <f>COUNTIFS('Web Test Cases'!$L:$L,A7,'Web Test Cases'!$M:$M,"Manual")</f>
        <v>6</v>
      </c>
      <c r="H7" s="42">
        <f>COUNTIFS('Web Test Cases'!$L:$L,A7,'Web Test Cases'!$N:$N,"Yes")</f>
        <v>1</v>
      </c>
    </row>
    <row r="8" spans="1:8" ht="15" customHeight="1" x14ac:dyDescent="0.3">
      <c r="A8" s="42" t="s">
        <v>666</v>
      </c>
      <c r="B8" s="42" t="s">
        <v>60</v>
      </c>
      <c r="C8" s="43" t="s">
        <v>1038</v>
      </c>
      <c r="D8" s="42" t="s">
        <v>147</v>
      </c>
      <c r="E8" s="42">
        <f>COUNTIF('Web Test Cases'!$L:$L,A8)</f>
        <v>10</v>
      </c>
      <c r="F8" s="42">
        <f>COUNTIFS('Web Test Cases'!$L:$L,A8,'Web Test Cases'!$M:$M,"Automation")</f>
        <v>3</v>
      </c>
      <c r="G8" s="42">
        <f>COUNTIFS('Web Test Cases'!$L:$L,A8,'Web Test Cases'!$M:$M,"Manual")</f>
        <v>7</v>
      </c>
      <c r="H8" s="42">
        <f>COUNTIFS('Web Test Cases'!$L:$L,A8,'Web Test Cases'!$N:$N,"Yes")</f>
        <v>4</v>
      </c>
    </row>
    <row r="9" spans="1:8" ht="15" customHeight="1" x14ac:dyDescent="0.3">
      <c r="A9" s="42" t="s">
        <v>736</v>
      </c>
      <c r="B9" s="42" t="s">
        <v>61</v>
      </c>
      <c r="C9" s="43" t="s">
        <v>1039</v>
      </c>
      <c r="D9" s="42" t="s">
        <v>166</v>
      </c>
      <c r="E9" s="42">
        <f>COUNTIF('Web Test Cases'!$L:$L,A9)</f>
        <v>4</v>
      </c>
      <c r="F9" s="42">
        <f>COUNTIFS('Web Test Cases'!$L:$L,A9,'Web Test Cases'!$M:$M,"Automation")</f>
        <v>2</v>
      </c>
      <c r="G9" s="42">
        <f>COUNTIFS('Web Test Cases'!$L:$L,A9,'Web Test Cases'!$M:$M,"Manual")</f>
        <v>2</v>
      </c>
      <c r="H9" s="42">
        <f>COUNTIFS('Web Test Cases'!$L:$L,A9,'Web Test Cases'!$N:$N,"Yes")</f>
        <v>2</v>
      </c>
    </row>
    <row r="10" spans="1:8" ht="15" customHeight="1" x14ac:dyDescent="0.3">
      <c r="A10" s="42" t="s">
        <v>764</v>
      </c>
      <c r="B10" s="42" t="s">
        <v>62</v>
      </c>
      <c r="C10" s="43" t="s">
        <v>1040</v>
      </c>
      <c r="D10" s="42" t="s">
        <v>166</v>
      </c>
      <c r="E10" s="42">
        <f>COUNTIF('Web Test Cases'!$L:$L,A10)</f>
        <v>9</v>
      </c>
      <c r="F10" s="42">
        <f>COUNTIFS('Web Test Cases'!$L:$L,A10,'Web Test Cases'!$M:$M,"Automation")</f>
        <v>2</v>
      </c>
      <c r="G10" s="42">
        <f>COUNTIFS('Web Test Cases'!$L:$L,A10,'Web Test Cases'!$M:$M,"Manual")</f>
        <v>7</v>
      </c>
      <c r="H10" s="42">
        <f>COUNTIFS('Web Test Cases'!$L:$L,A10,'Web Test Cases'!$N:$N,"Yes")</f>
        <v>2</v>
      </c>
    </row>
    <row r="11" spans="1:8" ht="15" customHeight="1" x14ac:dyDescent="0.3">
      <c r="A11" s="42" t="s">
        <v>822</v>
      </c>
      <c r="B11" s="42" t="s">
        <v>63</v>
      </c>
      <c r="C11" s="43" t="s">
        <v>1041</v>
      </c>
      <c r="D11" s="42" t="s">
        <v>147</v>
      </c>
      <c r="E11" s="42">
        <f>COUNTIF('Web Test Cases'!$L:$L,A11)</f>
        <v>12</v>
      </c>
      <c r="F11" s="42">
        <f>COUNTIFS('Web Test Cases'!$L:$L,A11,'Web Test Cases'!$M:$M,"Automation")</f>
        <v>0</v>
      </c>
      <c r="G11" s="42">
        <f>COUNTIFS('Web Test Cases'!$L:$L,A11,'Web Test Cases'!$M:$M,"Manual")</f>
        <v>12</v>
      </c>
      <c r="H11" s="42">
        <f>COUNTIFS('Web Test Cases'!$L:$L,A11,'Web Test Cases'!$N:$N,"Yes")</f>
        <v>3</v>
      </c>
    </row>
    <row r="12" spans="1:8" ht="15" customHeight="1" x14ac:dyDescent="0.3">
      <c r="A12" s="42" t="s">
        <v>908</v>
      </c>
      <c r="B12" s="42" t="s">
        <v>64</v>
      </c>
      <c r="C12" s="43" t="s">
        <v>1042</v>
      </c>
      <c r="D12" s="42" t="s">
        <v>147</v>
      </c>
      <c r="E12" s="42">
        <f>COUNTIF('Web Test Cases'!$L:$L,A12)</f>
        <v>12</v>
      </c>
      <c r="F12" s="42">
        <f>COUNTIFS('Web Test Cases'!$L:$L,A12,'Web Test Cases'!$M:$M,"Automation")</f>
        <v>0</v>
      </c>
      <c r="G12" s="42">
        <f>COUNTIFS('Web Test Cases'!$L:$L,A12,'Web Test Cases'!$M:$M,"Manual")</f>
        <v>12</v>
      </c>
      <c r="H12" s="42">
        <f>COUNTIFS('Web Test Cases'!$L:$L,A12,'Web Test Cases'!$N:$N,"Yes")</f>
        <v>2</v>
      </c>
    </row>
    <row r="13" spans="1:8" ht="15" customHeight="1" x14ac:dyDescent="0.3">
      <c r="A13" s="42" t="s">
        <v>985</v>
      </c>
      <c r="B13" s="42" t="s">
        <v>65</v>
      </c>
      <c r="C13" s="43" t="s">
        <v>1043</v>
      </c>
      <c r="D13" s="42" t="s">
        <v>231</v>
      </c>
      <c r="E13" s="42">
        <f>COUNTIF('Web Test Cases'!$L:$L,A13)</f>
        <v>1</v>
      </c>
      <c r="F13" s="42">
        <f>COUNTIFS('Web Test Cases'!$L:$L,A13,'Web Test Cases'!$M:$M,"Automation")</f>
        <v>0</v>
      </c>
      <c r="G13" s="42">
        <f>COUNTIFS('Web Test Cases'!$L:$L,A13,'Web Test Cases'!$M:$M,"Manual")</f>
        <v>1</v>
      </c>
      <c r="H13" s="42">
        <f>COUNTIFS('Web Test Cases'!$L:$L,A13,'Web Test Cases'!$N:$N,"Yes")</f>
        <v>0</v>
      </c>
    </row>
    <row r="14" spans="1:8" ht="15" customHeight="1" x14ac:dyDescent="0.3">
      <c r="A14" s="42" t="s">
        <v>993</v>
      </c>
      <c r="B14" s="42" t="s">
        <v>66</v>
      </c>
      <c r="C14" s="43" t="s">
        <v>1044</v>
      </c>
      <c r="D14" s="42" t="s">
        <v>166</v>
      </c>
      <c r="E14" s="42">
        <f>COUNTIF('Web Test Cases'!$L:$L,A14)</f>
        <v>6</v>
      </c>
      <c r="F14" s="42">
        <f>COUNTIFS('Web Test Cases'!$L:$L,A14,'Web Test Cases'!$M:$M,"Automation")</f>
        <v>0</v>
      </c>
      <c r="G14" s="42">
        <f>COUNTIFS('Web Test Cases'!$L:$L,A14,'Web Test Cases'!$M:$M,"Manual")</f>
        <v>6</v>
      </c>
      <c r="H14" s="42">
        <f>COUNTIFS('Web Test Cases'!$L:$L,A14,'Web Test Cases'!$N:$N,"Yes")</f>
        <v>0</v>
      </c>
    </row>
    <row r="15" spans="1:8" ht="15" customHeight="1" x14ac:dyDescent="0.3">
      <c r="A15" s="39" t="s">
        <v>1045</v>
      </c>
      <c r="B15" s="39"/>
      <c r="C15" s="39"/>
      <c r="D15" s="39"/>
      <c r="E15" s="39">
        <f>SUM(E2:E14)</f>
        <v>128</v>
      </c>
      <c r="F15" s="39">
        <f>SUM(F2:F14)</f>
        <v>29</v>
      </c>
      <c r="G15" s="39">
        <f>SUM(G2:G14)</f>
        <v>99</v>
      </c>
      <c r="H15" s="39">
        <f>SUM(H2:H14)</f>
        <v>35</v>
      </c>
    </row>
    <row r="17" spans="1:1" ht="15" customHeight="1" x14ac:dyDescent="0.3">
      <c r="A17" s="19" t="s">
        <v>1046</v>
      </c>
    </row>
    <row r="18" spans="1:1" ht="15" customHeight="1" x14ac:dyDescent="0.3">
      <c r="A18" s="47" t="s">
        <v>1047</v>
      </c>
    </row>
    <row r="19" spans="1:1" ht="15" customHeight="1" x14ac:dyDescent="0.3">
      <c r="A19" s="47" t="s">
        <v>1048</v>
      </c>
    </row>
    <row r="20" spans="1:1" ht="15" customHeight="1" x14ac:dyDescent="0.3">
      <c r="A20" s="47" t="s">
        <v>1049</v>
      </c>
    </row>
    <row r="21" spans="1:1" ht="15" customHeight="1" x14ac:dyDescent="0.3">
      <c r="A21" s="47" t="s">
        <v>1050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70" customWidth="1"/>
    <col min="3" max="3" width="22" customWidth="1"/>
    <col min="4" max="4" width="45" customWidth="1"/>
  </cols>
  <sheetData>
    <row r="1" spans="1:4" ht="17.25" customHeight="1" x14ac:dyDescent="0.35">
      <c r="A1" s="48" t="s">
        <v>1051</v>
      </c>
    </row>
    <row r="2" spans="1:4" ht="15" customHeight="1" x14ac:dyDescent="0.3">
      <c r="A2" s="49" t="s">
        <v>1052</v>
      </c>
    </row>
    <row r="4" spans="1:4" ht="15" customHeight="1" x14ac:dyDescent="0.3">
      <c r="A4" s="50" t="s">
        <v>1053</v>
      </c>
    </row>
    <row r="5" spans="1:4" ht="15" customHeight="1" x14ac:dyDescent="0.3">
      <c r="A5" s="39" t="s">
        <v>53</v>
      </c>
      <c r="B5" s="39" t="s">
        <v>1054</v>
      </c>
      <c r="C5" s="39" t="s">
        <v>1055</v>
      </c>
      <c r="D5" s="39" t="s">
        <v>101</v>
      </c>
    </row>
    <row r="6" spans="1:4" ht="15" customHeight="1" x14ac:dyDescent="0.3">
      <c r="A6" s="43" t="s">
        <v>54</v>
      </c>
      <c r="B6" s="43" t="s">
        <v>1056</v>
      </c>
      <c r="C6" s="43" t="s">
        <v>1057</v>
      </c>
      <c r="D6" s="43" t="s">
        <v>1058</v>
      </c>
    </row>
    <row r="7" spans="1:4" ht="15" customHeight="1" x14ac:dyDescent="0.3">
      <c r="A7" s="43" t="s">
        <v>1059</v>
      </c>
      <c r="B7" s="43" t="s">
        <v>1060</v>
      </c>
      <c r="C7" s="43" t="s">
        <v>1057</v>
      </c>
      <c r="D7" s="43" t="s">
        <v>1061</v>
      </c>
    </row>
    <row r="8" spans="1:4" ht="27.75" customHeight="1" x14ac:dyDescent="0.3">
      <c r="A8" s="43" t="s">
        <v>57</v>
      </c>
      <c r="B8" s="43" t="s">
        <v>1062</v>
      </c>
      <c r="C8" s="43" t="s">
        <v>1057</v>
      </c>
      <c r="D8" s="43" t="s">
        <v>1063</v>
      </c>
    </row>
    <row r="9" spans="1:4" ht="27.75" customHeight="1" x14ac:dyDescent="0.3">
      <c r="A9" s="43" t="s">
        <v>58</v>
      </c>
      <c r="B9" s="43" t="s">
        <v>1064</v>
      </c>
      <c r="C9" s="43" t="s">
        <v>1057</v>
      </c>
      <c r="D9" s="43" t="s">
        <v>1065</v>
      </c>
    </row>
    <row r="10" spans="1:4" ht="15" customHeight="1" x14ac:dyDescent="0.3">
      <c r="A10" s="43" t="s">
        <v>59</v>
      </c>
      <c r="B10" s="43" t="s">
        <v>1066</v>
      </c>
      <c r="C10" s="43" t="s">
        <v>1057</v>
      </c>
      <c r="D10" s="43"/>
    </row>
    <row r="11" spans="1:4" ht="15" customHeight="1" x14ac:dyDescent="0.3">
      <c r="A11" s="43" t="s">
        <v>60</v>
      </c>
      <c r="B11" s="43" t="s">
        <v>1067</v>
      </c>
      <c r="C11" s="43" t="s">
        <v>1057</v>
      </c>
      <c r="D11" s="43" t="s">
        <v>1068</v>
      </c>
    </row>
    <row r="12" spans="1:4" ht="15" customHeight="1" x14ac:dyDescent="0.3">
      <c r="A12" s="43" t="s">
        <v>61</v>
      </c>
      <c r="B12" s="43" t="s">
        <v>1069</v>
      </c>
      <c r="C12" s="43" t="s">
        <v>1057</v>
      </c>
      <c r="D12" s="43"/>
    </row>
    <row r="13" spans="1:4" ht="15" customHeight="1" x14ac:dyDescent="0.3">
      <c r="A13" s="43" t="s">
        <v>62</v>
      </c>
      <c r="B13" s="43" t="s">
        <v>1070</v>
      </c>
      <c r="C13" s="43" t="s">
        <v>1057</v>
      </c>
      <c r="D13" s="43"/>
    </row>
    <row r="14" spans="1:4" ht="15" customHeight="1" x14ac:dyDescent="0.3">
      <c r="A14" s="43" t="s">
        <v>63</v>
      </c>
      <c r="B14" s="43" t="s">
        <v>1071</v>
      </c>
      <c r="C14" s="43" t="s">
        <v>1072</v>
      </c>
      <c r="D14" s="43" t="s">
        <v>1073</v>
      </c>
    </row>
    <row r="15" spans="1:4" ht="15" customHeight="1" x14ac:dyDescent="0.3">
      <c r="A15" s="43" t="s">
        <v>64</v>
      </c>
      <c r="B15" s="43" t="s">
        <v>1074</v>
      </c>
      <c r="C15" s="43" t="s">
        <v>1072</v>
      </c>
      <c r="D15" s="43" t="s">
        <v>1075</v>
      </c>
    </row>
    <row r="16" spans="1:4" ht="15" customHeight="1" x14ac:dyDescent="0.3">
      <c r="A16" s="43" t="s">
        <v>65</v>
      </c>
      <c r="B16" s="43" t="s">
        <v>1076</v>
      </c>
      <c r="C16" s="43" t="s">
        <v>1072</v>
      </c>
      <c r="D16" s="43" t="s">
        <v>1077</v>
      </c>
    </row>
    <row r="17" spans="1:4" ht="15" customHeight="1" x14ac:dyDescent="0.3">
      <c r="A17" s="43" t="s">
        <v>66</v>
      </c>
      <c r="B17" s="43" t="s">
        <v>1078</v>
      </c>
      <c r="C17" s="43" t="s">
        <v>1072</v>
      </c>
      <c r="D17" s="43" t="s">
        <v>1079</v>
      </c>
    </row>
    <row r="19" spans="1:4" ht="15" customHeight="1" x14ac:dyDescent="0.3">
      <c r="A19" s="50" t="s">
        <v>1080</v>
      </c>
    </row>
    <row r="20" spans="1:4" ht="15" customHeight="1" x14ac:dyDescent="0.3">
      <c r="A20" s="39" t="s">
        <v>1081</v>
      </c>
      <c r="B20" s="39" t="s">
        <v>1082</v>
      </c>
      <c r="C20" s="39" t="s">
        <v>1083</v>
      </c>
      <c r="D20" s="39" t="s">
        <v>1084</v>
      </c>
    </row>
    <row r="21" spans="1:4" ht="27.75" customHeight="1" x14ac:dyDescent="0.3">
      <c r="A21" s="43" t="s">
        <v>1085</v>
      </c>
      <c r="B21" s="43" t="s">
        <v>1086</v>
      </c>
      <c r="C21" s="43" t="s">
        <v>1087</v>
      </c>
      <c r="D21" s="43" t="s">
        <v>1088</v>
      </c>
    </row>
    <row r="22" spans="1:4" ht="15" customHeight="1" x14ac:dyDescent="0.3">
      <c r="A22" s="43" t="s">
        <v>1089</v>
      </c>
      <c r="B22" s="43" t="s">
        <v>1090</v>
      </c>
      <c r="C22" s="43" t="s">
        <v>1087</v>
      </c>
      <c r="D22" s="43" t="s">
        <v>1091</v>
      </c>
    </row>
    <row r="23" spans="1:4" ht="15" customHeight="1" x14ac:dyDescent="0.3">
      <c r="A23" s="43" t="s">
        <v>1092</v>
      </c>
      <c r="B23" s="43" t="s">
        <v>1093</v>
      </c>
      <c r="C23" s="43" t="s">
        <v>1094</v>
      </c>
      <c r="D23" s="43" t="s">
        <v>1095</v>
      </c>
    </row>
    <row r="24" spans="1:4" ht="27.75" customHeight="1" x14ac:dyDescent="0.3">
      <c r="A24" s="43" t="s">
        <v>1096</v>
      </c>
      <c r="B24" s="43" t="s">
        <v>1097</v>
      </c>
      <c r="C24" s="43" t="s">
        <v>1098</v>
      </c>
      <c r="D24" s="43" t="s">
        <v>1099</v>
      </c>
    </row>
    <row r="25" spans="1:4" ht="27.75" customHeight="1" x14ac:dyDescent="0.3">
      <c r="A25" s="43" t="s">
        <v>1100</v>
      </c>
      <c r="B25" s="43" t="s">
        <v>1101</v>
      </c>
      <c r="C25" s="43" t="s">
        <v>1098</v>
      </c>
      <c r="D25" s="43" t="s">
        <v>1102</v>
      </c>
    </row>
    <row r="26" spans="1:4" ht="15" customHeight="1" x14ac:dyDescent="0.3">
      <c r="A26" s="43" t="s">
        <v>1103</v>
      </c>
      <c r="B26" s="43" t="s">
        <v>1104</v>
      </c>
      <c r="C26" s="43" t="s">
        <v>1087</v>
      </c>
      <c r="D26" s="43" t="s">
        <v>1105</v>
      </c>
    </row>
    <row r="27" spans="1:4" ht="15" customHeight="1" x14ac:dyDescent="0.3">
      <c r="A27" s="43" t="s">
        <v>1106</v>
      </c>
      <c r="B27" s="43" t="s">
        <v>1107</v>
      </c>
      <c r="C27" s="43" t="s">
        <v>1094</v>
      </c>
      <c r="D27" s="43" t="s">
        <v>1108</v>
      </c>
    </row>
    <row r="28" spans="1:4" ht="15" customHeight="1" x14ac:dyDescent="0.3">
      <c r="A28" s="43" t="s">
        <v>1109</v>
      </c>
      <c r="B28" s="43" t="s">
        <v>1110</v>
      </c>
      <c r="C28" s="43" t="s">
        <v>1094</v>
      </c>
      <c r="D28" s="43" t="s">
        <v>1111</v>
      </c>
    </row>
    <row r="29" spans="1:4" ht="15" customHeight="1" x14ac:dyDescent="0.3">
      <c r="A29" s="43" t="s">
        <v>1112</v>
      </c>
      <c r="B29" s="43" t="s">
        <v>1113</v>
      </c>
      <c r="C29" s="43" t="s">
        <v>1098</v>
      </c>
      <c r="D29" s="43" t="s">
        <v>1114</v>
      </c>
    </row>
    <row r="30" spans="1:4" ht="27.75" customHeight="1" x14ac:dyDescent="0.3">
      <c r="A30" s="43" t="s">
        <v>1115</v>
      </c>
      <c r="B30" s="43" t="s">
        <v>1116</v>
      </c>
      <c r="C30" s="43" t="s">
        <v>1087</v>
      </c>
      <c r="D30" s="43" t="s">
        <v>1117</v>
      </c>
    </row>
    <row r="31" spans="1:4" ht="15" customHeight="1" x14ac:dyDescent="0.3">
      <c r="A31" s="43" t="s">
        <v>1118</v>
      </c>
      <c r="B31" s="43" t="s">
        <v>1119</v>
      </c>
      <c r="C31" s="43" t="s">
        <v>1087</v>
      </c>
      <c r="D31" s="43" t="s">
        <v>1105</v>
      </c>
    </row>
    <row r="33" spans="1:1" ht="15" customHeight="1" x14ac:dyDescent="0.3">
      <c r="A33" s="50" t="s">
        <v>1120</v>
      </c>
    </row>
    <row r="34" spans="1:1" ht="15" customHeight="1" x14ac:dyDescent="0.3">
      <c r="A34" s="47" t="s">
        <v>1121</v>
      </c>
    </row>
    <row r="35" spans="1:1" ht="15" customHeight="1" x14ac:dyDescent="0.3">
      <c r="A35" s="47" t="s">
        <v>1122</v>
      </c>
    </row>
    <row r="36" spans="1:1" ht="15" customHeight="1" x14ac:dyDescent="0.3">
      <c r="A36" s="47" t="s">
        <v>1123</v>
      </c>
    </row>
    <row r="37" spans="1:1" ht="15" customHeight="1" x14ac:dyDescent="0.3">
      <c r="A37" s="47" t="s">
        <v>1124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1" customWidth="1"/>
    <col min="2" max="2" width="40" customWidth="1"/>
    <col min="3" max="3" width="22" customWidth="1"/>
    <col min="4" max="5" width="11" customWidth="1"/>
    <col min="6" max="6" width="14" customWidth="1"/>
    <col min="7" max="7" width="28" customWidth="1"/>
    <col min="8" max="8" width="26" customWidth="1"/>
    <col min="9" max="9" width="38" customWidth="1"/>
    <col min="10" max="10" width="22" customWidth="1"/>
    <col min="11" max="12" width="40" customWidth="1"/>
    <col min="13" max="13" width="36" customWidth="1"/>
    <col min="14" max="14" width="26" customWidth="1"/>
    <col min="15" max="15" width="10" customWidth="1"/>
    <col min="16" max="16" width="18" customWidth="1"/>
  </cols>
  <sheetData>
    <row r="1" spans="1:16" ht="30" customHeight="1" x14ac:dyDescent="0.3">
      <c r="A1" s="51" t="s">
        <v>120</v>
      </c>
      <c r="B1" s="51" t="s">
        <v>125</v>
      </c>
      <c r="C1" s="51" t="s">
        <v>53</v>
      </c>
      <c r="D1" s="51" t="s">
        <v>122</v>
      </c>
      <c r="E1" s="51" t="s">
        <v>123</v>
      </c>
      <c r="F1" s="51" t="s">
        <v>1125</v>
      </c>
      <c r="G1" s="51" t="s">
        <v>113</v>
      </c>
      <c r="H1" s="51" t="s">
        <v>1126</v>
      </c>
      <c r="I1" s="51" t="s">
        <v>1127</v>
      </c>
      <c r="J1" s="51" t="s">
        <v>1128</v>
      </c>
      <c r="K1" s="51" t="s">
        <v>1129</v>
      </c>
      <c r="L1" s="51" t="s">
        <v>1130</v>
      </c>
      <c r="M1" s="51" t="s">
        <v>1131</v>
      </c>
      <c r="N1" s="51" t="s">
        <v>1132</v>
      </c>
      <c r="O1" s="51" t="s">
        <v>124</v>
      </c>
      <c r="P1" s="51" t="s">
        <v>121</v>
      </c>
    </row>
    <row r="2" spans="1:16" ht="150" customHeight="1" x14ac:dyDescent="0.3">
      <c r="A2" s="52" t="s">
        <v>1133</v>
      </c>
      <c r="B2" s="52" t="s">
        <v>1134</v>
      </c>
      <c r="C2" s="52" t="s">
        <v>1135</v>
      </c>
      <c r="D2" s="52" t="s">
        <v>1136</v>
      </c>
      <c r="E2" s="52" t="s">
        <v>231</v>
      </c>
      <c r="F2" s="52" t="s">
        <v>546</v>
      </c>
      <c r="G2" s="52" t="s">
        <v>1137</v>
      </c>
      <c r="H2" s="52" t="s">
        <v>1138</v>
      </c>
      <c r="I2" s="52" t="s">
        <v>1139</v>
      </c>
      <c r="J2" s="52" t="s">
        <v>1140</v>
      </c>
      <c r="K2" s="52" t="s">
        <v>1141</v>
      </c>
      <c r="L2" s="52" t="s">
        <v>1142</v>
      </c>
      <c r="M2" s="52" t="s">
        <v>1143</v>
      </c>
      <c r="N2" s="52" t="s">
        <v>1117</v>
      </c>
      <c r="O2" s="52" t="s">
        <v>1144</v>
      </c>
      <c r="P2" s="52" t="s">
        <v>1145</v>
      </c>
    </row>
    <row r="3" spans="1:16" ht="150" customHeight="1" x14ac:dyDescent="0.3">
      <c r="A3" s="52" t="s">
        <v>1146</v>
      </c>
      <c r="B3" s="52" t="s">
        <v>1147</v>
      </c>
      <c r="C3" s="52" t="s">
        <v>1148</v>
      </c>
      <c r="D3" s="52" t="s">
        <v>1149</v>
      </c>
      <c r="E3" s="52" t="s">
        <v>166</v>
      </c>
      <c r="F3" s="52" t="s">
        <v>973</v>
      </c>
      <c r="G3" s="52" t="s">
        <v>1150</v>
      </c>
      <c r="H3" s="52" t="s">
        <v>1151</v>
      </c>
      <c r="I3" s="52" t="s">
        <v>1152</v>
      </c>
      <c r="J3" s="52" t="s">
        <v>1153</v>
      </c>
      <c r="K3" s="52" t="s">
        <v>1154</v>
      </c>
      <c r="L3" s="52" t="s">
        <v>1155</v>
      </c>
      <c r="M3" s="52" t="s">
        <v>1156</v>
      </c>
      <c r="N3" s="52" t="s">
        <v>1117</v>
      </c>
      <c r="O3" s="52" t="s">
        <v>1144</v>
      </c>
      <c r="P3" s="52" t="s">
        <v>1145</v>
      </c>
    </row>
    <row r="4" spans="1:16" ht="150" customHeight="1" x14ac:dyDescent="0.3">
      <c r="A4" s="52" t="s">
        <v>1157</v>
      </c>
      <c r="B4" s="52" t="s">
        <v>1158</v>
      </c>
      <c r="C4" s="52" t="s">
        <v>1159</v>
      </c>
      <c r="D4" s="52" t="s">
        <v>1136</v>
      </c>
      <c r="E4" s="52" t="s">
        <v>231</v>
      </c>
      <c r="F4" s="52" t="s">
        <v>321</v>
      </c>
      <c r="G4" s="52" t="s">
        <v>1150</v>
      </c>
      <c r="H4" s="52" t="s">
        <v>1160</v>
      </c>
      <c r="I4" s="52" t="s">
        <v>1161</v>
      </c>
      <c r="J4" s="52" t="s">
        <v>1162</v>
      </c>
      <c r="K4" s="52" t="s">
        <v>1163</v>
      </c>
      <c r="L4" s="52" t="s">
        <v>1164</v>
      </c>
      <c r="M4" s="52" t="s">
        <v>1165</v>
      </c>
      <c r="N4" s="52" t="s">
        <v>1117</v>
      </c>
      <c r="O4" s="52" t="s">
        <v>1144</v>
      </c>
      <c r="P4" s="52" t="s">
        <v>1145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0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42" customWidth="1"/>
    <col min="3" max="3" width="30" customWidth="1"/>
    <col min="4" max="4" width="11.33203125" customWidth="1"/>
    <col min="5" max="5" width="16" customWidth="1"/>
    <col min="6" max="6" width="34" customWidth="1"/>
    <col min="7" max="7" width="42" customWidth="1"/>
    <col min="8" max="8" width="40" customWidth="1"/>
    <col min="9" max="9" width="50" customWidth="1"/>
    <col min="10" max="10" width="30" customWidth="1"/>
    <col min="11" max="11" width="10.44140625" customWidth="1"/>
    <col min="12" max="12" width="22" customWidth="1"/>
    <col min="13" max="13" width="16" customWidth="1"/>
    <col min="14" max="14" width="12" customWidth="1"/>
    <col min="15" max="15" width="55" customWidth="1"/>
  </cols>
  <sheetData>
    <row r="1" spans="1:15" ht="15" customHeight="1" x14ac:dyDescent="0.3">
      <c r="A1" s="39" t="s">
        <v>133</v>
      </c>
      <c r="B1" s="40" t="s">
        <v>134</v>
      </c>
      <c r="C1" s="39" t="s">
        <v>135</v>
      </c>
      <c r="D1" s="39" t="s">
        <v>123</v>
      </c>
      <c r="E1" s="39" t="s">
        <v>136</v>
      </c>
      <c r="F1" s="39" t="s">
        <v>137</v>
      </c>
      <c r="G1" s="41" t="s">
        <v>138</v>
      </c>
      <c r="H1" s="39" t="s">
        <v>139</v>
      </c>
      <c r="I1" s="40" t="s">
        <v>140</v>
      </c>
      <c r="J1" s="40" t="s">
        <v>141</v>
      </c>
      <c r="K1" s="39" t="s">
        <v>124</v>
      </c>
      <c r="L1" s="39" t="s">
        <v>1166</v>
      </c>
      <c r="M1" s="39" t="s">
        <v>143</v>
      </c>
      <c r="N1" s="39" t="s">
        <v>6</v>
      </c>
      <c r="O1" s="39" t="s">
        <v>144</v>
      </c>
    </row>
    <row r="2" spans="1:15" ht="60" customHeight="1" x14ac:dyDescent="0.3">
      <c r="A2" s="42" t="s">
        <v>1167</v>
      </c>
      <c r="B2" s="43" t="s">
        <v>1168</v>
      </c>
      <c r="C2" s="42" t="s">
        <v>71</v>
      </c>
      <c r="D2" s="42" t="s">
        <v>147</v>
      </c>
      <c r="E2" s="42" t="s">
        <v>148</v>
      </c>
      <c r="F2" s="43" t="s">
        <v>1169</v>
      </c>
      <c r="G2" s="44" t="s">
        <v>1170</v>
      </c>
      <c r="H2" s="42" t="s">
        <v>1171</v>
      </c>
      <c r="I2" s="43" t="s">
        <v>1172</v>
      </c>
      <c r="J2" s="45" t="s">
        <v>1173</v>
      </c>
      <c r="K2" s="42" t="s">
        <v>7</v>
      </c>
      <c r="L2" s="42" t="s">
        <v>1174</v>
      </c>
      <c r="M2" s="46" t="s">
        <v>4</v>
      </c>
      <c r="N2" s="46" t="s">
        <v>155</v>
      </c>
      <c r="O2" s="43" t="s">
        <v>1175</v>
      </c>
    </row>
    <row r="3" spans="1:15" ht="60" customHeight="1" x14ac:dyDescent="0.3">
      <c r="A3" s="42" t="s">
        <v>1176</v>
      </c>
      <c r="B3" s="43" t="s">
        <v>1177</v>
      </c>
      <c r="C3" s="42" t="s">
        <v>71</v>
      </c>
      <c r="D3" s="42" t="s">
        <v>147</v>
      </c>
      <c r="E3" s="42" t="s">
        <v>148</v>
      </c>
      <c r="F3" s="43" t="s">
        <v>1169</v>
      </c>
      <c r="G3" s="44" t="s">
        <v>1178</v>
      </c>
      <c r="H3" s="42" t="s">
        <v>1179</v>
      </c>
      <c r="I3" s="43" t="s">
        <v>1180</v>
      </c>
      <c r="J3" s="45" t="s">
        <v>1181</v>
      </c>
      <c r="K3" s="42" t="s">
        <v>7</v>
      </c>
      <c r="L3" s="42" t="s">
        <v>1182</v>
      </c>
      <c r="M3" s="46" t="s">
        <v>4</v>
      </c>
      <c r="N3" s="46" t="s">
        <v>155</v>
      </c>
      <c r="O3" s="43" t="s">
        <v>1175</v>
      </c>
    </row>
    <row r="4" spans="1:15" ht="60" customHeight="1" x14ac:dyDescent="0.3">
      <c r="A4" s="42" t="s">
        <v>1183</v>
      </c>
      <c r="B4" s="43" t="s">
        <v>1184</v>
      </c>
      <c r="C4" s="42" t="s">
        <v>71</v>
      </c>
      <c r="D4" s="42" t="s">
        <v>166</v>
      </c>
      <c r="E4" s="42" t="s">
        <v>148</v>
      </c>
      <c r="F4" s="43" t="s">
        <v>1169</v>
      </c>
      <c r="G4" s="44" t="s">
        <v>1185</v>
      </c>
      <c r="H4" s="42" t="s">
        <v>1186</v>
      </c>
      <c r="I4" s="43" t="s">
        <v>1187</v>
      </c>
      <c r="J4" s="45" t="s">
        <v>1188</v>
      </c>
      <c r="K4" s="42" t="s">
        <v>7</v>
      </c>
      <c r="L4" s="42" t="s">
        <v>1189</v>
      </c>
      <c r="M4" s="46" t="s">
        <v>4</v>
      </c>
      <c r="N4" s="46" t="s">
        <v>155</v>
      </c>
      <c r="O4" s="43" t="s">
        <v>1175</v>
      </c>
    </row>
    <row r="5" spans="1:15" ht="60" customHeight="1" x14ac:dyDescent="0.3">
      <c r="A5" s="42" t="s">
        <v>1190</v>
      </c>
      <c r="B5" s="43" t="s">
        <v>1191</v>
      </c>
      <c r="C5" s="42" t="s">
        <v>71</v>
      </c>
      <c r="D5" s="42" t="s">
        <v>147</v>
      </c>
      <c r="E5" s="42" t="s">
        <v>203</v>
      </c>
      <c r="F5" s="43" t="s">
        <v>1169</v>
      </c>
      <c r="G5" s="44" t="s">
        <v>1192</v>
      </c>
      <c r="H5" s="42" t="s">
        <v>1193</v>
      </c>
      <c r="I5" s="43" t="s">
        <v>1194</v>
      </c>
      <c r="J5" s="45" t="s">
        <v>1195</v>
      </c>
      <c r="K5" s="42" t="s">
        <v>7</v>
      </c>
      <c r="L5" s="42" t="s">
        <v>1196</v>
      </c>
      <c r="M5" s="46" t="s">
        <v>4</v>
      </c>
      <c r="N5" s="46" t="s">
        <v>155</v>
      </c>
      <c r="O5" s="43" t="s">
        <v>1197</v>
      </c>
    </row>
    <row r="6" spans="1:15" ht="60" customHeight="1" x14ac:dyDescent="0.3">
      <c r="A6" s="42" t="s">
        <v>1198</v>
      </c>
      <c r="B6" s="43" t="s">
        <v>1199</v>
      </c>
      <c r="C6" s="42" t="s">
        <v>71</v>
      </c>
      <c r="D6" s="42" t="s">
        <v>147</v>
      </c>
      <c r="E6" s="42" t="s">
        <v>273</v>
      </c>
      <c r="F6" s="43" t="s">
        <v>1169</v>
      </c>
      <c r="G6" s="44" t="s">
        <v>1200</v>
      </c>
      <c r="H6" s="42" t="s">
        <v>1201</v>
      </c>
      <c r="I6" s="43" t="s">
        <v>1202</v>
      </c>
      <c r="J6" s="45" t="s">
        <v>1203</v>
      </c>
      <c r="K6" s="42" t="s">
        <v>7</v>
      </c>
      <c r="L6" s="42" t="s">
        <v>1204</v>
      </c>
      <c r="M6" s="46" t="s">
        <v>4</v>
      </c>
      <c r="N6" s="46" t="s">
        <v>155</v>
      </c>
      <c r="O6" s="43" t="s">
        <v>1205</v>
      </c>
    </row>
    <row r="7" spans="1:15" ht="60" customHeight="1" x14ac:dyDescent="0.3">
      <c r="A7" s="42" t="s">
        <v>1206</v>
      </c>
      <c r="B7" s="43" t="s">
        <v>1207</v>
      </c>
      <c r="C7" s="42" t="s">
        <v>71</v>
      </c>
      <c r="D7" s="42" t="s">
        <v>147</v>
      </c>
      <c r="E7" s="42" t="s">
        <v>273</v>
      </c>
      <c r="F7" s="43" t="s">
        <v>1169</v>
      </c>
      <c r="G7" s="44" t="s">
        <v>1200</v>
      </c>
      <c r="H7" s="42" t="s">
        <v>1208</v>
      </c>
      <c r="I7" s="43" t="s">
        <v>1209</v>
      </c>
      <c r="J7" s="45" t="s">
        <v>1210</v>
      </c>
      <c r="K7" s="42" t="s">
        <v>7</v>
      </c>
      <c r="L7" s="42" t="s">
        <v>1204</v>
      </c>
      <c r="M7" s="46" t="s">
        <v>4</v>
      </c>
      <c r="N7" s="46" t="s">
        <v>155</v>
      </c>
      <c r="O7" s="43" t="s">
        <v>1205</v>
      </c>
    </row>
    <row r="8" spans="1:15" ht="60" customHeight="1" x14ac:dyDescent="0.3">
      <c r="A8" s="42" t="s">
        <v>1211</v>
      </c>
      <c r="B8" s="43" t="s">
        <v>1212</v>
      </c>
      <c r="C8" s="42" t="s">
        <v>71</v>
      </c>
      <c r="D8" s="42" t="s">
        <v>147</v>
      </c>
      <c r="E8" s="42" t="s">
        <v>273</v>
      </c>
      <c r="F8" s="43" t="s">
        <v>1169</v>
      </c>
      <c r="G8" s="44" t="s">
        <v>1200</v>
      </c>
      <c r="H8" s="42" t="s">
        <v>1213</v>
      </c>
      <c r="I8" s="43" t="s">
        <v>1214</v>
      </c>
      <c r="J8" s="45" t="s">
        <v>1215</v>
      </c>
      <c r="K8" s="42" t="s">
        <v>7</v>
      </c>
      <c r="L8" s="42" t="s">
        <v>1204</v>
      </c>
      <c r="M8" s="46" t="s">
        <v>4</v>
      </c>
      <c r="N8" s="46" t="s">
        <v>155</v>
      </c>
      <c r="O8" s="43" t="s">
        <v>1205</v>
      </c>
    </row>
    <row r="9" spans="1:15" ht="60" customHeight="1" x14ac:dyDescent="0.3">
      <c r="A9" s="42" t="s">
        <v>1216</v>
      </c>
      <c r="B9" s="43" t="s">
        <v>1217</v>
      </c>
      <c r="C9" s="42" t="s">
        <v>71</v>
      </c>
      <c r="D9" s="42" t="s">
        <v>147</v>
      </c>
      <c r="E9" s="42" t="s">
        <v>273</v>
      </c>
      <c r="F9" s="43" t="s">
        <v>1169</v>
      </c>
      <c r="G9" s="44" t="s">
        <v>1200</v>
      </c>
      <c r="H9" s="42" t="s">
        <v>1218</v>
      </c>
      <c r="I9" s="43" t="s">
        <v>1202</v>
      </c>
      <c r="J9" s="45" t="s">
        <v>1203</v>
      </c>
      <c r="K9" s="42" t="s">
        <v>7</v>
      </c>
      <c r="L9" s="42" t="s">
        <v>1204</v>
      </c>
      <c r="M9" s="46" t="s">
        <v>4</v>
      </c>
      <c r="N9" s="46" t="s">
        <v>155</v>
      </c>
      <c r="O9" s="43" t="s">
        <v>1205</v>
      </c>
    </row>
    <row r="10" spans="1:15" ht="60" customHeight="1" x14ac:dyDescent="0.3">
      <c r="A10" s="42" t="s">
        <v>1219</v>
      </c>
      <c r="B10" s="43" t="s">
        <v>1220</v>
      </c>
      <c r="C10" s="42" t="s">
        <v>71</v>
      </c>
      <c r="D10" s="42" t="s">
        <v>166</v>
      </c>
      <c r="E10" s="42" t="s">
        <v>203</v>
      </c>
      <c r="F10" s="43" t="s">
        <v>1169</v>
      </c>
      <c r="G10" s="44" t="s">
        <v>1200</v>
      </c>
      <c r="H10" s="42" t="s">
        <v>1221</v>
      </c>
      <c r="I10" s="43" t="s">
        <v>1202</v>
      </c>
      <c r="J10" s="45" t="s">
        <v>1203</v>
      </c>
      <c r="K10" s="42" t="s">
        <v>7</v>
      </c>
      <c r="L10" s="42" t="s">
        <v>1222</v>
      </c>
      <c r="M10" s="46" t="s">
        <v>4</v>
      </c>
      <c r="N10" s="46" t="s">
        <v>155</v>
      </c>
      <c r="O10" s="43" t="s">
        <v>1197</v>
      </c>
    </row>
    <row r="11" spans="1:15" ht="60" customHeight="1" x14ac:dyDescent="0.3">
      <c r="A11" s="42" t="s">
        <v>1223</v>
      </c>
      <c r="B11" s="43" t="s">
        <v>1224</v>
      </c>
      <c r="C11" s="42" t="s">
        <v>71</v>
      </c>
      <c r="D11" s="42" t="s">
        <v>166</v>
      </c>
      <c r="E11" s="42" t="s">
        <v>203</v>
      </c>
      <c r="F11" s="43" t="s">
        <v>1169</v>
      </c>
      <c r="G11" s="44" t="s">
        <v>1200</v>
      </c>
      <c r="H11" s="42" t="s">
        <v>1225</v>
      </c>
      <c r="I11" s="43" t="s">
        <v>1202</v>
      </c>
      <c r="J11" s="45" t="s">
        <v>1203</v>
      </c>
      <c r="K11" s="42" t="s">
        <v>7</v>
      </c>
      <c r="L11" s="42" t="s">
        <v>1222</v>
      </c>
      <c r="M11" s="46" t="s">
        <v>4</v>
      </c>
      <c r="N11" s="46" t="s">
        <v>155</v>
      </c>
      <c r="O11" s="43" t="s">
        <v>1197</v>
      </c>
    </row>
    <row r="12" spans="1:15" ht="60" customHeight="1" x14ac:dyDescent="0.3">
      <c r="A12" s="42" t="s">
        <v>1226</v>
      </c>
      <c r="B12" s="43" t="s">
        <v>1227</v>
      </c>
      <c r="C12" s="42" t="s">
        <v>71</v>
      </c>
      <c r="D12" s="42" t="s">
        <v>166</v>
      </c>
      <c r="E12" s="42" t="s">
        <v>148</v>
      </c>
      <c r="F12" s="43" t="s">
        <v>1169</v>
      </c>
      <c r="G12" s="44" t="s">
        <v>1200</v>
      </c>
      <c r="H12" s="42" t="s">
        <v>1228</v>
      </c>
      <c r="I12" s="43" t="s">
        <v>1229</v>
      </c>
      <c r="J12" s="45" t="s">
        <v>1230</v>
      </c>
      <c r="K12" s="42" t="s">
        <v>7</v>
      </c>
      <c r="L12" s="42" t="s">
        <v>1222</v>
      </c>
      <c r="M12" s="46" t="s">
        <v>4</v>
      </c>
      <c r="N12" s="46" t="s">
        <v>155</v>
      </c>
      <c r="O12" s="43" t="s">
        <v>1231</v>
      </c>
    </row>
    <row r="13" spans="1:15" ht="60" customHeight="1" x14ac:dyDescent="0.3">
      <c r="A13" s="42" t="s">
        <v>1232</v>
      </c>
      <c r="B13" s="43" t="s">
        <v>1233</v>
      </c>
      <c r="C13" s="42" t="s">
        <v>71</v>
      </c>
      <c r="D13" s="42" t="s">
        <v>166</v>
      </c>
      <c r="E13" s="42" t="s">
        <v>273</v>
      </c>
      <c r="F13" s="43" t="s">
        <v>1169</v>
      </c>
      <c r="G13" s="44" t="s">
        <v>1200</v>
      </c>
      <c r="H13" s="42" t="s">
        <v>1234</v>
      </c>
      <c r="I13" s="43" t="s">
        <v>1235</v>
      </c>
      <c r="J13" s="45" t="s">
        <v>1236</v>
      </c>
      <c r="K13" s="42" t="s">
        <v>7</v>
      </c>
      <c r="L13" s="42" t="s">
        <v>1204</v>
      </c>
      <c r="M13" s="46" t="s">
        <v>4</v>
      </c>
      <c r="N13" s="46" t="s">
        <v>155</v>
      </c>
      <c r="O13" s="43" t="s">
        <v>1205</v>
      </c>
    </row>
    <row r="14" spans="1:15" ht="60" customHeight="1" x14ac:dyDescent="0.3">
      <c r="A14" s="42" t="s">
        <v>1237</v>
      </c>
      <c r="B14" s="43" t="s">
        <v>1238</v>
      </c>
      <c r="C14" s="42" t="s">
        <v>71</v>
      </c>
      <c r="D14" s="42" t="s">
        <v>147</v>
      </c>
      <c r="E14" s="42" t="s">
        <v>273</v>
      </c>
      <c r="F14" s="43" t="s">
        <v>1169</v>
      </c>
      <c r="G14" s="44" t="s">
        <v>1200</v>
      </c>
      <c r="H14" s="42" t="s">
        <v>1239</v>
      </c>
      <c r="I14" s="43" t="s">
        <v>1240</v>
      </c>
      <c r="J14" s="45" t="s">
        <v>1241</v>
      </c>
      <c r="K14" s="42" t="s">
        <v>7</v>
      </c>
      <c r="L14" s="42" t="s">
        <v>1242</v>
      </c>
      <c r="M14" s="46" t="s">
        <v>4</v>
      </c>
      <c r="N14" s="46" t="s">
        <v>155</v>
      </c>
      <c r="O14" s="43" t="s">
        <v>1205</v>
      </c>
    </row>
    <row r="15" spans="1:15" ht="60" customHeight="1" x14ac:dyDescent="0.3">
      <c r="A15" s="42" t="s">
        <v>1243</v>
      </c>
      <c r="B15" s="43" t="s">
        <v>1244</v>
      </c>
      <c r="C15" s="42" t="s">
        <v>71</v>
      </c>
      <c r="D15" s="42" t="s">
        <v>147</v>
      </c>
      <c r="E15" s="42" t="s">
        <v>273</v>
      </c>
      <c r="F15" s="43" t="s">
        <v>1169</v>
      </c>
      <c r="G15" s="44" t="s">
        <v>1200</v>
      </c>
      <c r="H15" s="42" t="s">
        <v>1245</v>
      </c>
      <c r="I15" s="43" t="s">
        <v>1240</v>
      </c>
      <c r="J15" s="45" t="s">
        <v>1241</v>
      </c>
      <c r="K15" s="42" t="s">
        <v>7</v>
      </c>
      <c r="L15" s="42" t="s">
        <v>1242</v>
      </c>
      <c r="M15" s="46" t="s">
        <v>4</v>
      </c>
      <c r="N15" s="46" t="s">
        <v>155</v>
      </c>
      <c r="O15" s="43" t="s">
        <v>1205</v>
      </c>
    </row>
    <row r="16" spans="1:15" ht="60" customHeight="1" x14ac:dyDescent="0.3">
      <c r="A16" s="42" t="s">
        <v>1246</v>
      </c>
      <c r="B16" s="43" t="s">
        <v>1247</v>
      </c>
      <c r="C16" s="42" t="s">
        <v>71</v>
      </c>
      <c r="D16" s="42" t="s">
        <v>166</v>
      </c>
      <c r="E16" s="42" t="s">
        <v>203</v>
      </c>
      <c r="F16" s="43" t="s">
        <v>1169</v>
      </c>
      <c r="G16" s="44" t="s">
        <v>1200</v>
      </c>
      <c r="H16" s="42" t="s">
        <v>1248</v>
      </c>
      <c r="I16" s="43" t="s">
        <v>1240</v>
      </c>
      <c r="J16" s="45" t="s">
        <v>1241</v>
      </c>
      <c r="K16" s="42" t="s">
        <v>7</v>
      </c>
      <c r="L16" s="42" t="s">
        <v>1242</v>
      </c>
      <c r="M16" s="46" t="s">
        <v>4</v>
      </c>
      <c r="N16" s="46" t="s">
        <v>155</v>
      </c>
      <c r="O16" s="43" t="s">
        <v>1197</v>
      </c>
    </row>
    <row r="17" spans="1:15" ht="60" customHeight="1" x14ac:dyDescent="0.3">
      <c r="A17" s="42" t="s">
        <v>1249</v>
      </c>
      <c r="B17" s="43" t="s">
        <v>1250</v>
      </c>
      <c r="C17" s="42" t="s">
        <v>71</v>
      </c>
      <c r="D17" s="42" t="s">
        <v>166</v>
      </c>
      <c r="E17" s="42" t="s">
        <v>203</v>
      </c>
      <c r="F17" s="43" t="s">
        <v>1169</v>
      </c>
      <c r="G17" s="44" t="s">
        <v>1200</v>
      </c>
      <c r="H17" s="42" t="s">
        <v>1251</v>
      </c>
      <c r="I17" s="43" t="s">
        <v>1252</v>
      </c>
      <c r="J17" s="45" t="s">
        <v>1253</v>
      </c>
      <c r="K17" s="42" t="s">
        <v>7</v>
      </c>
      <c r="L17" s="42" t="s">
        <v>1242</v>
      </c>
      <c r="M17" s="46" t="s">
        <v>4</v>
      </c>
      <c r="N17" s="46" t="s">
        <v>155</v>
      </c>
      <c r="O17" s="43" t="s">
        <v>1197</v>
      </c>
    </row>
    <row r="18" spans="1:15" ht="60" customHeight="1" x14ac:dyDescent="0.3">
      <c r="A18" s="42" t="s">
        <v>1254</v>
      </c>
      <c r="B18" s="43" t="s">
        <v>1255</v>
      </c>
      <c r="C18" s="42" t="s">
        <v>71</v>
      </c>
      <c r="D18" s="42" t="s">
        <v>166</v>
      </c>
      <c r="E18" s="42" t="s">
        <v>203</v>
      </c>
      <c r="F18" s="43" t="s">
        <v>1169</v>
      </c>
      <c r="G18" s="44" t="s">
        <v>1200</v>
      </c>
      <c r="H18" s="42" t="s">
        <v>1256</v>
      </c>
      <c r="I18" s="43" t="s">
        <v>1257</v>
      </c>
      <c r="J18" s="45" t="s">
        <v>1258</v>
      </c>
      <c r="K18" s="42" t="s">
        <v>7</v>
      </c>
      <c r="L18" s="42" t="s">
        <v>1242</v>
      </c>
      <c r="M18" s="46" t="s">
        <v>4</v>
      </c>
      <c r="N18" s="46" t="s">
        <v>155</v>
      </c>
      <c r="O18" s="43" t="s">
        <v>1197</v>
      </c>
    </row>
    <row r="19" spans="1:15" ht="60" customHeight="1" x14ac:dyDescent="0.3">
      <c r="A19" s="42" t="s">
        <v>1259</v>
      </c>
      <c r="B19" s="43" t="s">
        <v>1260</v>
      </c>
      <c r="C19" s="42" t="s">
        <v>71</v>
      </c>
      <c r="D19" s="42" t="s">
        <v>166</v>
      </c>
      <c r="E19" s="42" t="s">
        <v>273</v>
      </c>
      <c r="F19" s="43" t="s">
        <v>1169</v>
      </c>
      <c r="G19" s="44" t="s">
        <v>1200</v>
      </c>
      <c r="H19" s="42" t="s">
        <v>1261</v>
      </c>
      <c r="I19" s="43" t="s">
        <v>1262</v>
      </c>
      <c r="J19" s="45" t="s">
        <v>1263</v>
      </c>
      <c r="K19" s="42" t="s">
        <v>7</v>
      </c>
      <c r="L19" s="42" t="s">
        <v>1242</v>
      </c>
      <c r="M19" s="46" t="s">
        <v>4</v>
      </c>
      <c r="N19" s="46" t="s">
        <v>155</v>
      </c>
      <c r="O19" s="43" t="s">
        <v>1205</v>
      </c>
    </row>
    <row r="20" spans="1:15" ht="60" customHeight="1" x14ac:dyDescent="0.3">
      <c r="A20" s="42" t="s">
        <v>1264</v>
      </c>
      <c r="B20" s="43" t="s">
        <v>1265</v>
      </c>
      <c r="C20" s="42" t="s">
        <v>71</v>
      </c>
      <c r="D20" s="42" t="s">
        <v>166</v>
      </c>
      <c r="E20" s="42" t="s">
        <v>273</v>
      </c>
      <c r="F20" s="43" t="s">
        <v>1169</v>
      </c>
      <c r="G20" s="44" t="s">
        <v>1200</v>
      </c>
      <c r="H20" s="42" t="s">
        <v>1266</v>
      </c>
      <c r="I20" s="43" t="s">
        <v>1267</v>
      </c>
      <c r="J20" s="45" t="s">
        <v>1268</v>
      </c>
      <c r="K20" s="42" t="s">
        <v>7</v>
      </c>
      <c r="L20" s="42" t="s">
        <v>1242</v>
      </c>
      <c r="M20" s="46" t="s">
        <v>4</v>
      </c>
      <c r="N20" s="46" t="s">
        <v>155</v>
      </c>
      <c r="O20" s="43" t="s">
        <v>1205</v>
      </c>
    </row>
    <row r="21" spans="1:15" ht="60" customHeight="1" x14ac:dyDescent="0.3">
      <c r="A21" s="42" t="s">
        <v>1269</v>
      </c>
      <c r="B21" s="43" t="s">
        <v>1270</v>
      </c>
      <c r="C21" s="42" t="s">
        <v>71</v>
      </c>
      <c r="D21" s="42" t="s">
        <v>231</v>
      </c>
      <c r="E21" s="42" t="s">
        <v>273</v>
      </c>
      <c r="F21" s="43" t="s">
        <v>1169</v>
      </c>
      <c r="G21" s="44" t="s">
        <v>1200</v>
      </c>
      <c r="H21" s="42" t="s">
        <v>1271</v>
      </c>
      <c r="I21" s="43" t="s">
        <v>1272</v>
      </c>
      <c r="J21" s="45" t="s">
        <v>1273</v>
      </c>
      <c r="K21" s="42" t="s">
        <v>7</v>
      </c>
      <c r="L21" s="42" t="s">
        <v>1242</v>
      </c>
      <c r="M21" s="43" t="s">
        <v>5</v>
      </c>
      <c r="N21" s="43" t="s">
        <v>192</v>
      </c>
      <c r="O21" s="43" t="s">
        <v>1274</v>
      </c>
    </row>
    <row r="22" spans="1:15" ht="60" customHeight="1" x14ac:dyDescent="0.3">
      <c r="A22" s="42" t="s">
        <v>1275</v>
      </c>
      <c r="B22" s="43" t="s">
        <v>1276</v>
      </c>
      <c r="C22" s="42" t="s">
        <v>71</v>
      </c>
      <c r="D22" s="42" t="s">
        <v>147</v>
      </c>
      <c r="E22" s="42" t="s">
        <v>203</v>
      </c>
      <c r="F22" s="43" t="s">
        <v>1169</v>
      </c>
      <c r="G22" s="44" t="s">
        <v>1277</v>
      </c>
      <c r="H22" s="42" t="s">
        <v>1278</v>
      </c>
      <c r="I22" s="43" t="s">
        <v>1279</v>
      </c>
      <c r="J22" s="45" t="s">
        <v>1280</v>
      </c>
      <c r="K22" s="42" t="s">
        <v>7</v>
      </c>
      <c r="L22" s="42" t="s">
        <v>1281</v>
      </c>
      <c r="M22" s="46" t="s">
        <v>4</v>
      </c>
      <c r="N22" s="46" t="s">
        <v>155</v>
      </c>
      <c r="O22" s="43" t="s">
        <v>1175</v>
      </c>
    </row>
    <row r="23" spans="1:15" ht="60" customHeight="1" x14ac:dyDescent="0.3">
      <c r="A23" s="42" t="s">
        <v>1282</v>
      </c>
      <c r="B23" s="43" t="s">
        <v>1283</v>
      </c>
      <c r="C23" s="42" t="s">
        <v>71</v>
      </c>
      <c r="D23" s="42" t="s">
        <v>147</v>
      </c>
      <c r="E23" s="42" t="s">
        <v>203</v>
      </c>
      <c r="F23" s="43" t="s">
        <v>1169</v>
      </c>
      <c r="G23" s="44" t="s">
        <v>1284</v>
      </c>
      <c r="H23" s="42" t="s">
        <v>1179</v>
      </c>
      <c r="I23" s="43" t="s">
        <v>1285</v>
      </c>
      <c r="J23" s="45" t="s">
        <v>1286</v>
      </c>
      <c r="K23" s="42" t="s">
        <v>7</v>
      </c>
      <c r="L23" s="42" t="s">
        <v>1287</v>
      </c>
      <c r="M23" s="46" t="s">
        <v>4</v>
      </c>
      <c r="N23" s="46" t="s">
        <v>155</v>
      </c>
      <c r="O23" s="43" t="s">
        <v>1288</v>
      </c>
    </row>
    <row r="24" spans="1:15" ht="60" customHeight="1" x14ac:dyDescent="0.3">
      <c r="A24" s="42" t="s">
        <v>1289</v>
      </c>
      <c r="B24" s="43" t="s">
        <v>1290</v>
      </c>
      <c r="C24" s="42" t="s">
        <v>71</v>
      </c>
      <c r="D24" s="42" t="s">
        <v>147</v>
      </c>
      <c r="E24" s="42" t="s">
        <v>203</v>
      </c>
      <c r="F24" s="43" t="s">
        <v>1169</v>
      </c>
      <c r="G24" s="44" t="s">
        <v>1291</v>
      </c>
      <c r="H24" s="42" t="s">
        <v>1292</v>
      </c>
      <c r="I24" s="43" t="s">
        <v>1293</v>
      </c>
      <c r="J24" s="45" t="s">
        <v>1294</v>
      </c>
      <c r="K24" s="42" t="s">
        <v>7</v>
      </c>
      <c r="L24" s="42" t="s">
        <v>1295</v>
      </c>
      <c r="M24" s="46" t="s">
        <v>4</v>
      </c>
      <c r="N24" s="46" t="s">
        <v>155</v>
      </c>
      <c r="O24" s="43" t="s">
        <v>1175</v>
      </c>
    </row>
    <row r="25" spans="1:15" ht="75" customHeight="1" x14ac:dyDescent="0.3">
      <c r="A25" s="42" t="s">
        <v>1296</v>
      </c>
      <c r="B25" s="43" t="s">
        <v>1297</v>
      </c>
      <c r="C25" s="42" t="s">
        <v>71</v>
      </c>
      <c r="D25" s="42" t="s">
        <v>147</v>
      </c>
      <c r="E25" s="42" t="s">
        <v>203</v>
      </c>
      <c r="F25" s="43" t="s">
        <v>1169</v>
      </c>
      <c r="G25" s="44" t="s">
        <v>1200</v>
      </c>
      <c r="H25" s="42" t="s">
        <v>1298</v>
      </c>
      <c r="I25" s="43" t="s">
        <v>1299</v>
      </c>
      <c r="J25" s="45" t="s">
        <v>1300</v>
      </c>
      <c r="K25" s="42" t="s">
        <v>7</v>
      </c>
      <c r="L25" s="42" t="s">
        <v>1301</v>
      </c>
      <c r="M25" s="46" t="s">
        <v>4</v>
      </c>
      <c r="N25" s="46" t="s">
        <v>155</v>
      </c>
      <c r="O25" s="43" t="s">
        <v>1175</v>
      </c>
    </row>
    <row r="26" spans="1:15" ht="60" customHeight="1" x14ac:dyDescent="0.3">
      <c r="A26" s="42" t="s">
        <v>1302</v>
      </c>
      <c r="B26" s="43" t="s">
        <v>1303</v>
      </c>
      <c r="C26" s="42" t="s">
        <v>71</v>
      </c>
      <c r="D26" s="42" t="s">
        <v>166</v>
      </c>
      <c r="E26" s="42" t="s">
        <v>148</v>
      </c>
      <c r="F26" s="43" t="s">
        <v>1169</v>
      </c>
      <c r="G26" s="44" t="s">
        <v>1200</v>
      </c>
      <c r="H26" s="42" t="s">
        <v>1304</v>
      </c>
      <c r="I26" s="43" t="s">
        <v>1305</v>
      </c>
      <c r="J26" s="45" t="s">
        <v>1306</v>
      </c>
      <c r="K26" s="42" t="s">
        <v>7</v>
      </c>
      <c r="L26" s="42" t="s">
        <v>1301</v>
      </c>
      <c r="M26" s="46" t="s">
        <v>4</v>
      </c>
      <c r="N26" s="46" t="s">
        <v>155</v>
      </c>
      <c r="O26" s="43" t="s">
        <v>1307</v>
      </c>
    </row>
    <row r="27" spans="1:15" ht="60" customHeight="1" x14ac:dyDescent="0.3">
      <c r="A27" s="42" t="s">
        <v>1308</v>
      </c>
      <c r="B27" s="43" t="s">
        <v>1309</v>
      </c>
      <c r="C27" s="42" t="s">
        <v>71</v>
      </c>
      <c r="D27" s="42" t="s">
        <v>147</v>
      </c>
      <c r="E27" s="42" t="s">
        <v>273</v>
      </c>
      <c r="F27" s="43" t="s">
        <v>1169</v>
      </c>
      <c r="G27" s="44" t="s">
        <v>1310</v>
      </c>
      <c r="H27" s="42" t="s">
        <v>1311</v>
      </c>
      <c r="I27" s="43" t="s">
        <v>1312</v>
      </c>
      <c r="J27" s="45" t="s">
        <v>1313</v>
      </c>
      <c r="K27" s="42" t="s">
        <v>7</v>
      </c>
      <c r="L27" s="42" t="s">
        <v>1314</v>
      </c>
      <c r="M27" s="46" t="s">
        <v>4</v>
      </c>
      <c r="N27" s="46" t="s">
        <v>155</v>
      </c>
      <c r="O27" s="43" t="s">
        <v>1205</v>
      </c>
    </row>
    <row r="28" spans="1:15" ht="60" customHeight="1" x14ac:dyDescent="0.3">
      <c r="A28" s="42" t="s">
        <v>1315</v>
      </c>
      <c r="B28" s="43" t="s">
        <v>1316</v>
      </c>
      <c r="C28" s="42" t="s">
        <v>71</v>
      </c>
      <c r="D28" s="42" t="s">
        <v>166</v>
      </c>
      <c r="E28" s="42" t="s">
        <v>1317</v>
      </c>
      <c r="F28" s="43" t="s">
        <v>1169</v>
      </c>
      <c r="G28" s="44" t="s">
        <v>1200</v>
      </c>
      <c r="H28" s="42" t="s">
        <v>1318</v>
      </c>
      <c r="I28" s="43" t="s">
        <v>1319</v>
      </c>
      <c r="J28" s="45" t="s">
        <v>1320</v>
      </c>
      <c r="K28" s="42" t="s">
        <v>7</v>
      </c>
      <c r="L28" s="42" t="s">
        <v>1242</v>
      </c>
      <c r="M28" s="46" t="s">
        <v>4</v>
      </c>
      <c r="N28" s="46" t="s">
        <v>155</v>
      </c>
      <c r="O28" s="43" t="s">
        <v>1321</v>
      </c>
    </row>
    <row r="29" spans="1:15" ht="60" customHeight="1" x14ac:dyDescent="0.3">
      <c r="A29" s="42" t="s">
        <v>1322</v>
      </c>
      <c r="B29" s="43" t="s">
        <v>1323</v>
      </c>
      <c r="C29" s="42" t="s">
        <v>71</v>
      </c>
      <c r="D29" s="42" t="s">
        <v>166</v>
      </c>
      <c r="E29" s="42" t="s">
        <v>1317</v>
      </c>
      <c r="F29" s="43" t="s">
        <v>1169</v>
      </c>
      <c r="G29" s="44" t="s">
        <v>1324</v>
      </c>
      <c r="H29" s="42" t="s">
        <v>1325</v>
      </c>
      <c r="I29" s="43" t="s">
        <v>1326</v>
      </c>
      <c r="J29" s="45" t="s">
        <v>1327</v>
      </c>
      <c r="K29" s="42" t="s">
        <v>7</v>
      </c>
      <c r="L29" s="42" t="s">
        <v>1242</v>
      </c>
      <c r="M29" s="46" t="s">
        <v>4</v>
      </c>
      <c r="N29" s="46" t="s">
        <v>155</v>
      </c>
      <c r="O29" s="43" t="s">
        <v>1321</v>
      </c>
    </row>
    <row r="30" spans="1:15" ht="60" customHeight="1" x14ac:dyDescent="0.3">
      <c r="A30" s="42" t="s">
        <v>1328</v>
      </c>
      <c r="B30" s="43" t="s">
        <v>1329</v>
      </c>
      <c r="C30" s="42" t="s">
        <v>71</v>
      </c>
      <c r="D30" s="42" t="s">
        <v>166</v>
      </c>
      <c r="E30" s="42" t="s">
        <v>203</v>
      </c>
      <c r="F30" s="43" t="s">
        <v>1169</v>
      </c>
      <c r="G30" s="44" t="s">
        <v>1330</v>
      </c>
      <c r="H30" s="42" t="s">
        <v>1331</v>
      </c>
      <c r="I30" s="43" t="s">
        <v>1332</v>
      </c>
      <c r="J30" s="45" t="s">
        <v>1333</v>
      </c>
      <c r="K30" s="42" t="s">
        <v>7</v>
      </c>
      <c r="L30" s="42" t="s">
        <v>1242</v>
      </c>
      <c r="M30" s="46" t="s">
        <v>4</v>
      </c>
      <c r="N30" s="46" t="s">
        <v>155</v>
      </c>
      <c r="O30" s="43" t="s">
        <v>1197</v>
      </c>
    </row>
    <row r="31" spans="1:15" ht="45" customHeight="1" x14ac:dyDescent="0.3">
      <c r="A31" s="42" t="s">
        <v>1334</v>
      </c>
      <c r="B31" s="43" t="s">
        <v>1335</v>
      </c>
      <c r="C31" s="42" t="s">
        <v>71</v>
      </c>
      <c r="D31" s="42" t="s">
        <v>231</v>
      </c>
      <c r="E31" s="42" t="s">
        <v>203</v>
      </c>
      <c r="F31" s="43" t="s">
        <v>1169</v>
      </c>
      <c r="G31" s="44" t="s">
        <v>1200</v>
      </c>
      <c r="H31" s="42" t="s">
        <v>1336</v>
      </c>
      <c r="I31" s="43" t="s">
        <v>1337</v>
      </c>
      <c r="J31" s="45" t="s">
        <v>1338</v>
      </c>
      <c r="K31" s="42" t="s">
        <v>7</v>
      </c>
      <c r="L31" s="42" t="s">
        <v>1242</v>
      </c>
      <c r="M31" s="46" t="s">
        <v>4</v>
      </c>
      <c r="N31" s="46" t="s">
        <v>155</v>
      </c>
      <c r="O31" s="43" t="s">
        <v>1197</v>
      </c>
    </row>
    <row r="32" spans="1:15" ht="60" customHeight="1" x14ac:dyDescent="0.3">
      <c r="A32" s="42" t="s">
        <v>1339</v>
      </c>
      <c r="B32" s="43" t="s">
        <v>1340</v>
      </c>
      <c r="C32" s="42" t="s">
        <v>71</v>
      </c>
      <c r="D32" s="42" t="s">
        <v>147</v>
      </c>
      <c r="E32" s="42" t="s">
        <v>1341</v>
      </c>
      <c r="F32" s="43" t="s">
        <v>1342</v>
      </c>
      <c r="G32" s="44" t="s">
        <v>1343</v>
      </c>
      <c r="H32" s="42" t="s">
        <v>1344</v>
      </c>
      <c r="I32" s="43" t="s">
        <v>1345</v>
      </c>
      <c r="J32" s="45" t="s">
        <v>1346</v>
      </c>
      <c r="K32" s="42" t="s">
        <v>7</v>
      </c>
      <c r="L32" s="42" t="s">
        <v>1242</v>
      </c>
      <c r="M32" s="46" t="s">
        <v>4</v>
      </c>
      <c r="N32" s="46" t="s">
        <v>155</v>
      </c>
      <c r="O32" s="43" t="s">
        <v>1347</v>
      </c>
    </row>
    <row r="33" spans="1:15" ht="60" customHeight="1" x14ac:dyDescent="0.3">
      <c r="A33" s="42" t="s">
        <v>1348</v>
      </c>
      <c r="B33" s="43" t="s">
        <v>1349</v>
      </c>
      <c r="C33" s="42" t="s">
        <v>73</v>
      </c>
      <c r="D33" s="42" t="s">
        <v>166</v>
      </c>
      <c r="E33" s="42" t="s">
        <v>148</v>
      </c>
      <c r="F33" s="43" t="s">
        <v>1350</v>
      </c>
      <c r="G33" s="44" t="s">
        <v>1351</v>
      </c>
      <c r="H33" s="42" t="s">
        <v>1117</v>
      </c>
      <c r="I33" s="43" t="s">
        <v>1352</v>
      </c>
      <c r="J33" s="45" t="s">
        <v>1353</v>
      </c>
      <c r="K33" s="42" t="s">
        <v>7</v>
      </c>
      <c r="L33" s="42" t="s">
        <v>1354</v>
      </c>
      <c r="M33" s="46" t="s">
        <v>4</v>
      </c>
      <c r="N33" s="46" t="s">
        <v>155</v>
      </c>
      <c r="O33" s="43" t="s">
        <v>1175</v>
      </c>
    </row>
    <row r="34" spans="1:15" ht="60" customHeight="1" x14ac:dyDescent="0.3">
      <c r="A34" s="42" t="s">
        <v>1355</v>
      </c>
      <c r="B34" s="43" t="s">
        <v>1356</v>
      </c>
      <c r="C34" s="42" t="s">
        <v>73</v>
      </c>
      <c r="D34" s="42" t="s">
        <v>166</v>
      </c>
      <c r="E34" s="42" t="s">
        <v>148</v>
      </c>
      <c r="F34" s="43" t="s">
        <v>1350</v>
      </c>
      <c r="G34" s="44" t="s">
        <v>1357</v>
      </c>
      <c r="H34" s="42" t="s">
        <v>1358</v>
      </c>
      <c r="I34" s="43" t="s">
        <v>1359</v>
      </c>
      <c r="J34" s="45" t="s">
        <v>1360</v>
      </c>
      <c r="K34" s="42" t="s">
        <v>7</v>
      </c>
      <c r="L34" s="42" t="s">
        <v>1361</v>
      </c>
      <c r="M34" s="46" t="s">
        <v>4</v>
      </c>
      <c r="N34" s="46" t="s">
        <v>155</v>
      </c>
      <c r="O34" s="43" t="s">
        <v>1175</v>
      </c>
    </row>
    <row r="35" spans="1:15" ht="60" customHeight="1" x14ac:dyDescent="0.3">
      <c r="A35" s="42" t="s">
        <v>1362</v>
      </c>
      <c r="B35" s="43" t="s">
        <v>1363</v>
      </c>
      <c r="C35" s="42" t="s">
        <v>73</v>
      </c>
      <c r="D35" s="42" t="s">
        <v>231</v>
      </c>
      <c r="E35" s="42" t="s">
        <v>148</v>
      </c>
      <c r="F35" s="43" t="s">
        <v>1350</v>
      </c>
      <c r="G35" s="44" t="s">
        <v>1364</v>
      </c>
      <c r="H35" s="42" t="s">
        <v>1365</v>
      </c>
      <c r="I35" s="43" t="s">
        <v>1366</v>
      </c>
      <c r="J35" s="45" t="s">
        <v>1367</v>
      </c>
      <c r="K35" s="42" t="s">
        <v>7</v>
      </c>
      <c r="L35" s="42" t="s">
        <v>1361</v>
      </c>
      <c r="M35" s="46" t="s">
        <v>4</v>
      </c>
      <c r="N35" s="46" t="s">
        <v>155</v>
      </c>
      <c r="O35" s="43" t="s">
        <v>1175</v>
      </c>
    </row>
    <row r="36" spans="1:15" ht="60" customHeight="1" x14ac:dyDescent="0.3">
      <c r="A36" s="42" t="s">
        <v>1368</v>
      </c>
      <c r="B36" s="43" t="s">
        <v>1369</v>
      </c>
      <c r="C36" s="42" t="s">
        <v>73</v>
      </c>
      <c r="D36" s="42" t="s">
        <v>231</v>
      </c>
      <c r="E36" s="42" t="s">
        <v>148</v>
      </c>
      <c r="F36" s="43" t="s">
        <v>1350</v>
      </c>
      <c r="G36" s="44" t="s">
        <v>1370</v>
      </c>
      <c r="H36" s="42" t="s">
        <v>1371</v>
      </c>
      <c r="I36" s="43" t="s">
        <v>1372</v>
      </c>
      <c r="J36" s="45" t="s">
        <v>1373</v>
      </c>
      <c r="K36" s="42" t="s">
        <v>7</v>
      </c>
      <c r="L36" s="42" t="s">
        <v>1374</v>
      </c>
      <c r="M36" s="46" t="s">
        <v>4</v>
      </c>
      <c r="N36" s="46" t="s">
        <v>155</v>
      </c>
      <c r="O36" s="43" t="s">
        <v>1175</v>
      </c>
    </row>
    <row r="37" spans="1:15" ht="60" customHeight="1" x14ac:dyDescent="0.3">
      <c r="A37" s="42" t="s">
        <v>1375</v>
      </c>
      <c r="B37" s="43" t="s">
        <v>1376</v>
      </c>
      <c r="C37" s="42" t="s">
        <v>73</v>
      </c>
      <c r="D37" s="42" t="s">
        <v>166</v>
      </c>
      <c r="E37" s="42" t="s">
        <v>148</v>
      </c>
      <c r="F37" s="43" t="s">
        <v>1350</v>
      </c>
      <c r="G37" s="44" t="s">
        <v>1377</v>
      </c>
      <c r="H37" s="42" t="s">
        <v>1378</v>
      </c>
      <c r="I37" s="43" t="s">
        <v>1379</v>
      </c>
      <c r="J37" s="45" t="s">
        <v>1380</v>
      </c>
      <c r="K37" s="42" t="s">
        <v>7</v>
      </c>
      <c r="L37" s="42" t="s">
        <v>1381</v>
      </c>
      <c r="M37" s="46" t="s">
        <v>4</v>
      </c>
      <c r="N37" s="46" t="s">
        <v>155</v>
      </c>
      <c r="O37" s="43" t="s">
        <v>1175</v>
      </c>
    </row>
    <row r="38" spans="1:15" ht="60" customHeight="1" x14ac:dyDescent="0.3">
      <c r="A38" s="42" t="s">
        <v>1382</v>
      </c>
      <c r="B38" s="43" t="s">
        <v>1383</v>
      </c>
      <c r="C38" s="42" t="s">
        <v>73</v>
      </c>
      <c r="D38" s="42" t="s">
        <v>166</v>
      </c>
      <c r="E38" s="42" t="s">
        <v>148</v>
      </c>
      <c r="F38" s="43" t="s">
        <v>1350</v>
      </c>
      <c r="G38" s="44" t="s">
        <v>1384</v>
      </c>
      <c r="H38" s="42" t="s">
        <v>1385</v>
      </c>
      <c r="I38" s="43" t="s">
        <v>1386</v>
      </c>
      <c r="J38" s="45" t="s">
        <v>1387</v>
      </c>
      <c r="K38" s="42" t="s">
        <v>7</v>
      </c>
      <c r="L38" s="42" t="s">
        <v>1388</v>
      </c>
      <c r="M38" s="46" t="s">
        <v>4</v>
      </c>
      <c r="N38" s="46" t="s">
        <v>155</v>
      </c>
      <c r="O38" s="43" t="s">
        <v>1175</v>
      </c>
    </row>
    <row r="39" spans="1:15" ht="60" customHeight="1" x14ac:dyDescent="0.3">
      <c r="A39" s="42" t="s">
        <v>1389</v>
      </c>
      <c r="B39" s="43" t="s">
        <v>1390</v>
      </c>
      <c r="C39" s="42" t="s">
        <v>73</v>
      </c>
      <c r="D39" s="42" t="s">
        <v>231</v>
      </c>
      <c r="E39" s="42" t="s">
        <v>148</v>
      </c>
      <c r="F39" s="43" t="s">
        <v>1350</v>
      </c>
      <c r="G39" s="44" t="s">
        <v>1391</v>
      </c>
      <c r="H39" s="42" t="s">
        <v>1392</v>
      </c>
      <c r="I39" s="43" t="s">
        <v>1393</v>
      </c>
      <c r="J39" s="45" t="s">
        <v>1394</v>
      </c>
      <c r="K39" s="42" t="s">
        <v>7</v>
      </c>
      <c r="L39" s="42" t="s">
        <v>1388</v>
      </c>
      <c r="M39" s="46" t="s">
        <v>4</v>
      </c>
      <c r="N39" s="46" t="s">
        <v>155</v>
      </c>
      <c r="O39" s="43" t="s">
        <v>1175</v>
      </c>
    </row>
    <row r="40" spans="1:15" ht="60" customHeight="1" x14ac:dyDescent="0.3">
      <c r="A40" s="42" t="s">
        <v>1395</v>
      </c>
      <c r="B40" s="43" t="s">
        <v>1396</v>
      </c>
      <c r="C40" s="42" t="s">
        <v>73</v>
      </c>
      <c r="D40" s="42" t="s">
        <v>166</v>
      </c>
      <c r="E40" s="42" t="s">
        <v>148</v>
      </c>
      <c r="F40" s="43" t="s">
        <v>1350</v>
      </c>
      <c r="G40" s="44" t="s">
        <v>1397</v>
      </c>
      <c r="H40" s="42" t="s">
        <v>1398</v>
      </c>
      <c r="I40" s="43" t="s">
        <v>1399</v>
      </c>
      <c r="J40" s="45" t="s">
        <v>1400</v>
      </c>
      <c r="K40" s="42" t="s">
        <v>7</v>
      </c>
      <c r="L40" s="42" t="s">
        <v>1401</v>
      </c>
      <c r="M40" s="46" t="s">
        <v>4</v>
      </c>
      <c r="N40" s="46" t="s">
        <v>155</v>
      </c>
      <c r="O40" s="43" t="s">
        <v>1175</v>
      </c>
    </row>
    <row r="41" spans="1:15" ht="60" customHeight="1" x14ac:dyDescent="0.3">
      <c r="A41" s="42" t="s">
        <v>1402</v>
      </c>
      <c r="B41" s="43" t="s">
        <v>1403</v>
      </c>
      <c r="C41" s="42" t="s">
        <v>73</v>
      </c>
      <c r="D41" s="42" t="s">
        <v>166</v>
      </c>
      <c r="E41" s="42" t="s">
        <v>273</v>
      </c>
      <c r="F41" s="43" t="s">
        <v>1350</v>
      </c>
      <c r="G41" s="44" t="s">
        <v>1404</v>
      </c>
      <c r="H41" s="42" t="s">
        <v>1405</v>
      </c>
      <c r="I41" s="43" t="s">
        <v>1406</v>
      </c>
      <c r="J41" s="45" t="s">
        <v>1407</v>
      </c>
      <c r="K41" s="42" t="s">
        <v>7</v>
      </c>
      <c r="L41" s="42" t="s">
        <v>1408</v>
      </c>
      <c r="M41" s="46" t="s">
        <v>4</v>
      </c>
      <c r="N41" s="46" t="s">
        <v>155</v>
      </c>
      <c r="O41" s="43" t="s">
        <v>1205</v>
      </c>
    </row>
    <row r="42" spans="1:15" ht="60" customHeight="1" x14ac:dyDescent="0.3">
      <c r="A42" s="42" t="s">
        <v>1409</v>
      </c>
      <c r="B42" s="43" t="s">
        <v>1410</v>
      </c>
      <c r="C42" s="42" t="s">
        <v>73</v>
      </c>
      <c r="D42" s="42" t="s">
        <v>166</v>
      </c>
      <c r="E42" s="42" t="s">
        <v>273</v>
      </c>
      <c r="F42" s="43" t="s">
        <v>1350</v>
      </c>
      <c r="G42" s="44" t="s">
        <v>1411</v>
      </c>
      <c r="H42" s="42" t="s">
        <v>1412</v>
      </c>
      <c r="I42" s="43" t="s">
        <v>1413</v>
      </c>
      <c r="J42" s="45" t="s">
        <v>1414</v>
      </c>
      <c r="K42" s="42" t="s">
        <v>7</v>
      </c>
      <c r="L42" s="42" t="s">
        <v>1408</v>
      </c>
      <c r="M42" s="46" t="s">
        <v>4</v>
      </c>
      <c r="N42" s="46" t="s">
        <v>155</v>
      </c>
      <c r="O42" s="43" t="s">
        <v>1205</v>
      </c>
    </row>
    <row r="43" spans="1:15" ht="60" customHeight="1" x14ac:dyDescent="0.3">
      <c r="A43" s="42" t="s">
        <v>1415</v>
      </c>
      <c r="B43" s="43" t="s">
        <v>1416</v>
      </c>
      <c r="C43" s="42" t="s">
        <v>73</v>
      </c>
      <c r="D43" s="42" t="s">
        <v>166</v>
      </c>
      <c r="E43" s="42" t="s">
        <v>148</v>
      </c>
      <c r="F43" s="43" t="s">
        <v>1350</v>
      </c>
      <c r="G43" s="44" t="s">
        <v>1417</v>
      </c>
      <c r="H43" s="42" t="s">
        <v>1418</v>
      </c>
      <c r="I43" s="43" t="s">
        <v>1419</v>
      </c>
      <c r="J43" s="45" t="s">
        <v>1420</v>
      </c>
      <c r="K43" s="42" t="s">
        <v>7</v>
      </c>
      <c r="L43" s="42" t="s">
        <v>1421</v>
      </c>
      <c r="M43" s="46" t="s">
        <v>4</v>
      </c>
      <c r="N43" s="46" t="s">
        <v>155</v>
      </c>
      <c r="O43" s="43" t="s">
        <v>1175</v>
      </c>
    </row>
    <row r="44" spans="1:15" ht="60" customHeight="1" x14ac:dyDescent="0.3">
      <c r="A44" s="42" t="s">
        <v>1422</v>
      </c>
      <c r="B44" s="43" t="s">
        <v>1423</v>
      </c>
      <c r="C44" s="42" t="s">
        <v>73</v>
      </c>
      <c r="D44" s="42" t="s">
        <v>166</v>
      </c>
      <c r="E44" s="42" t="s">
        <v>148</v>
      </c>
      <c r="F44" s="43" t="s">
        <v>1350</v>
      </c>
      <c r="G44" s="44" t="s">
        <v>1424</v>
      </c>
      <c r="H44" s="42" t="s">
        <v>1425</v>
      </c>
      <c r="I44" s="43" t="s">
        <v>1426</v>
      </c>
      <c r="J44" s="45" t="s">
        <v>1427</v>
      </c>
      <c r="K44" s="42" t="s">
        <v>7</v>
      </c>
      <c r="L44" s="42" t="s">
        <v>1374</v>
      </c>
      <c r="M44" s="46" t="s">
        <v>4</v>
      </c>
      <c r="N44" s="46" t="s">
        <v>155</v>
      </c>
      <c r="O44" s="43" t="s">
        <v>1428</v>
      </c>
    </row>
    <row r="45" spans="1:15" ht="60" customHeight="1" x14ac:dyDescent="0.3">
      <c r="A45" s="42" t="s">
        <v>1429</v>
      </c>
      <c r="B45" s="43" t="s">
        <v>1430</v>
      </c>
      <c r="C45" s="42" t="s">
        <v>73</v>
      </c>
      <c r="D45" s="42" t="s">
        <v>166</v>
      </c>
      <c r="E45" s="42" t="s">
        <v>203</v>
      </c>
      <c r="F45" s="43" t="s">
        <v>1350</v>
      </c>
      <c r="G45" s="44" t="s">
        <v>1431</v>
      </c>
      <c r="H45" s="42" t="s">
        <v>1432</v>
      </c>
      <c r="I45" s="43" t="s">
        <v>1433</v>
      </c>
      <c r="J45" s="45" t="s">
        <v>1434</v>
      </c>
      <c r="K45" s="42" t="s">
        <v>7</v>
      </c>
      <c r="L45" s="42" t="s">
        <v>1374</v>
      </c>
      <c r="M45" s="46" t="s">
        <v>4</v>
      </c>
      <c r="N45" s="46" t="s">
        <v>155</v>
      </c>
      <c r="O45" s="43" t="s">
        <v>1197</v>
      </c>
    </row>
    <row r="46" spans="1:15" ht="75" customHeight="1" x14ac:dyDescent="0.3">
      <c r="A46" s="42" t="s">
        <v>1435</v>
      </c>
      <c r="B46" s="43" t="s">
        <v>1436</v>
      </c>
      <c r="C46" s="42" t="s">
        <v>73</v>
      </c>
      <c r="D46" s="42" t="s">
        <v>147</v>
      </c>
      <c r="E46" s="42" t="s">
        <v>1341</v>
      </c>
      <c r="F46" s="43" t="s">
        <v>1437</v>
      </c>
      <c r="G46" s="44" t="s">
        <v>1438</v>
      </c>
      <c r="H46" s="42" t="s">
        <v>1439</v>
      </c>
      <c r="I46" s="43" t="s">
        <v>1440</v>
      </c>
      <c r="J46" s="45" t="s">
        <v>1441</v>
      </c>
      <c r="K46" s="42" t="s">
        <v>7</v>
      </c>
      <c r="L46" s="42" t="s">
        <v>1374</v>
      </c>
      <c r="M46" s="46" t="s">
        <v>4</v>
      </c>
      <c r="N46" s="46" t="s">
        <v>155</v>
      </c>
      <c r="O46" s="43" t="s">
        <v>1442</v>
      </c>
    </row>
    <row r="47" spans="1:15" ht="75" customHeight="1" x14ac:dyDescent="0.3">
      <c r="A47" s="42" t="s">
        <v>1443</v>
      </c>
      <c r="B47" s="43" t="s">
        <v>1444</v>
      </c>
      <c r="C47" s="42" t="s">
        <v>73</v>
      </c>
      <c r="D47" s="42" t="s">
        <v>147</v>
      </c>
      <c r="E47" s="42" t="s">
        <v>1341</v>
      </c>
      <c r="F47" s="43" t="s">
        <v>1342</v>
      </c>
      <c r="G47" s="44" t="s">
        <v>1445</v>
      </c>
      <c r="H47" s="42" t="s">
        <v>1344</v>
      </c>
      <c r="I47" s="43" t="s">
        <v>1345</v>
      </c>
      <c r="J47" s="45" t="s">
        <v>1346</v>
      </c>
      <c r="K47" s="42" t="s">
        <v>7</v>
      </c>
      <c r="L47" s="42" t="s">
        <v>1374</v>
      </c>
      <c r="M47" s="46" t="s">
        <v>4</v>
      </c>
      <c r="N47" s="46" t="s">
        <v>155</v>
      </c>
      <c r="O47" s="43" t="s">
        <v>1347</v>
      </c>
    </row>
    <row r="48" spans="1:15" ht="60" customHeight="1" x14ac:dyDescent="0.3">
      <c r="A48" s="42" t="s">
        <v>1446</v>
      </c>
      <c r="B48" s="43" t="s">
        <v>1447</v>
      </c>
      <c r="C48" s="42" t="s">
        <v>75</v>
      </c>
      <c r="D48" s="42" t="s">
        <v>166</v>
      </c>
      <c r="E48" s="42" t="s">
        <v>148</v>
      </c>
      <c r="F48" s="43" t="s">
        <v>1448</v>
      </c>
      <c r="G48" s="44" t="s">
        <v>1449</v>
      </c>
      <c r="H48" s="42" t="s">
        <v>1450</v>
      </c>
      <c r="I48" s="43" t="s">
        <v>1451</v>
      </c>
      <c r="J48" s="45" t="s">
        <v>1452</v>
      </c>
      <c r="K48" s="42" t="s">
        <v>7</v>
      </c>
      <c r="L48" s="42" t="s">
        <v>1453</v>
      </c>
      <c r="M48" s="46" t="s">
        <v>4</v>
      </c>
      <c r="N48" s="46" t="s">
        <v>155</v>
      </c>
      <c r="O48" s="43" t="s">
        <v>1175</v>
      </c>
    </row>
    <row r="49" spans="1:15" ht="30" customHeight="1" x14ac:dyDescent="0.3">
      <c r="A49" s="42" t="s">
        <v>1454</v>
      </c>
      <c r="B49" s="43" t="s">
        <v>1455</v>
      </c>
      <c r="C49" s="42" t="s">
        <v>75</v>
      </c>
      <c r="D49" s="42" t="s">
        <v>166</v>
      </c>
      <c r="E49" s="42" t="s">
        <v>148</v>
      </c>
      <c r="F49" s="43" t="s">
        <v>1448</v>
      </c>
      <c r="G49" s="44" t="s">
        <v>1456</v>
      </c>
      <c r="H49" s="42" t="s">
        <v>1457</v>
      </c>
      <c r="I49" s="43" t="s">
        <v>1458</v>
      </c>
      <c r="J49" s="45" t="s">
        <v>1459</v>
      </c>
      <c r="K49" s="42" t="s">
        <v>7</v>
      </c>
      <c r="L49" s="42" t="s">
        <v>1460</v>
      </c>
      <c r="M49" s="46" t="s">
        <v>4</v>
      </c>
      <c r="N49" s="46" t="s">
        <v>155</v>
      </c>
      <c r="O49" s="43" t="s">
        <v>1175</v>
      </c>
    </row>
    <row r="50" spans="1:15" ht="30" customHeight="1" x14ac:dyDescent="0.3">
      <c r="A50" s="42" t="s">
        <v>1461</v>
      </c>
      <c r="B50" s="43" t="s">
        <v>1462</v>
      </c>
      <c r="C50" s="42" t="s">
        <v>75</v>
      </c>
      <c r="D50" s="42" t="s">
        <v>166</v>
      </c>
      <c r="E50" s="42" t="s">
        <v>203</v>
      </c>
      <c r="F50" s="43" t="s">
        <v>1448</v>
      </c>
      <c r="G50" s="44" t="s">
        <v>1463</v>
      </c>
      <c r="H50" s="42" t="s">
        <v>1457</v>
      </c>
      <c r="I50" s="43" t="s">
        <v>1464</v>
      </c>
      <c r="J50" s="45" t="s">
        <v>1465</v>
      </c>
      <c r="K50" s="42" t="s">
        <v>7</v>
      </c>
      <c r="L50" s="42" t="s">
        <v>1466</v>
      </c>
      <c r="M50" s="46" t="s">
        <v>4</v>
      </c>
      <c r="N50" s="46" t="s">
        <v>155</v>
      </c>
      <c r="O50" s="43" t="s">
        <v>1175</v>
      </c>
    </row>
    <row r="51" spans="1:15" ht="30" customHeight="1" x14ac:dyDescent="0.3">
      <c r="A51" s="42" t="s">
        <v>1467</v>
      </c>
      <c r="B51" s="43" t="s">
        <v>1468</v>
      </c>
      <c r="C51" s="42" t="s">
        <v>75</v>
      </c>
      <c r="D51" s="42" t="s">
        <v>147</v>
      </c>
      <c r="E51" s="42" t="s">
        <v>1341</v>
      </c>
      <c r="F51" s="43" t="s">
        <v>1437</v>
      </c>
      <c r="G51" s="44" t="s">
        <v>1469</v>
      </c>
      <c r="H51" s="42" t="s">
        <v>1470</v>
      </c>
      <c r="I51" s="43" t="s">
        <v>1471</v>
      </c>
      <c r="J51" s="45" t="s">
        <v>1472</v>
      </c>
      <c r="K51" s="42" t="s">
        <v>7</v>
      </c>
      <c r="L51" s="42" t="s">
        <v>1473</v>
      </c>
      <c r="M51" s="46" t="s">
        <v>4</v>
      </c>
      <c r="N51" s="46" t="s">
        <v>155</v>
      </c>
      <c r="O51" s="43" t="s">
        <v>1442</v>
      </c>
    </row>
    <row r="52" spans="1:15" ht="30" customHeight="1" x14ac:dyDescent="0.3">
      <c r="A52" s="42" t="s">
        <v>1474</v>
      </c>
      <c r="B52" s="43" t="s">
        <v>1475</v>
      </c>
      <c r="C52" s="42" t="s">
        <v>75</v>
      </c>
      <c r="D52" s="42" t="s">
        <v>231</v>
      </c>
      <c r="E52" s="42" t="s">
        <v>203</v>
      </c>
      <c r="F52" s="43" t="s">
        <v>1169</v>
      </c>
      <c r="G52" s="44" t="s">
        <v>1476</v>
      </c>
      <c r="H52" s="42" t="s">
        <v>1477</v>
      </c>
      <c r="I52" s="43" t="s">
        <v>1478</v>
      </c>
      <c r="J52" s="45" t="s">
        <v>1479</v>
      </c>
      <c r="K52" s="42" t="s">
        <v>7</v>
      </c>
      <c r="L52" s="42" t="s">
        <v>1480</v>
      </c>
      <c r="M52" s="46" t="s">
        <v>4</v>
      </c>
      <c r="N52" s="46" t="s">
        <v>155</v>
      </c>
      <c r="O52" s="43" t="s">
        <v>1197</v>
      </c>
    </row>
    <row r="53" spans="1:15" ht="30" customHeight="1" x14ac:dyDescent="0.3">
      <c r="A53" s="42" t="s">
        <v>1481</v>
      </c>
      <c r="B53" s="43" t="s">
        <v>1482</v>
      </c>
      <c r="C53" s="42" t="s">
        <v>75</v>
      </c>
      <c r="D53" s="42" t="s">
        <v>231</v>
      </c>
      <c r="E53" s="42" t="s">
        <v>148</v>
      </c>
      <c r="F53" s="43" t="s">
        <v>1448</v>
      </c>
      <c r="G53" s="44" t="s">
        <v>1483</v>
      </c>
      <c r="H53" s="42" t="s">
        <v>1484</v>
      </c>
      <c r="I53" s="43" t="s">
        <v>1485</v>
      </c>
      <c r="J53" s="45" t="s">
        <v>1486</v>
      </c>
      <c r="K53" s="42" t="s">
        <v>7</v>
      </c>
      <c r="L53" s="42" t="s">
        <v>1480</v>
      </c>
      <c r="M53" s="43" t="s">
        <v>5</v>
      </c>
      <c r="N53" s="43" t="s">
        <v>192</v>
      </c>
      <c r="O53" s="43" t="s">
        <v>1274</v>
      </c>
    </row>
    <row r="54" spans="1:15" ht="30" customHeight="1" x14ac:dyDescent="0.3">
      <c r="A54" s="42" t="s">
        <v>1487</v>
      </c>
      <c r="B54" s="43" t="s">
        <v>1488</v>
      </c>
      <c r="C54" s="42" t="s">
        <v>75</v>
      </c>
      <c r="D54" s="42" t="s">
        <v>147</v>
      </c>
      <c r="E54" s="42" t="s">
        <v>1341</v>
      </c>
      <c r="F54" s="43" t="s">
        <v>1342</v>
      </c>
      <c r="G54" s="44" t="s">
        <v>1489</v>
      </c>
      <c r="H54" s="42" t="s">
        <v>1344</v>
      </c>
      <c r="I54" s="43" t="s">
        <v>1345</v>
      </c>
      <c r="J54" s="45" t="s">
        <v>1346</v>
      </c>
      <c r="K54" s="42" t="s">
        <v>7</v>
      </c>
      <c r="L54" s="42" t="s">
        <v>1480</v>
      </c>
      <c r="M54" s="46" t="s">
        <v>4</v>
      </c>
      <c r="N54" s="46" t="s">
        <v>155</v>
      </c>
      <c r="O54" s="43" t="s">
        <v>1347</v>
      </c>
    </row>
    <row r="55" spans="1:15" ht="30" customHeight="1" x14ac:dyDescent="0.3">
      <c r="A55" s="42" t="s">
        <v>1490</v>
      </c>
      <c r="B55" s="43" t="s">
        <v>1491</v>
      </c>
      <c r="C55" s="42" t="s">
        <v>77</v>
      </c>
      <c r="D55" s="42" t="s">
        <v>147</v>
      </c>
      <c r="E55" s="42" t="s">
        <v>148</v>
      </c>
      <c r="F55" s="43" t="s">
        <v>1169</v>
      </c>
      <c r="G55" s="44" t="s">
        <v>1492</v>
      </c>
      <c r="H55" s="42" t="s">
        <v>1493</v>
      </c>
      <c r="I55" s="43" t="s">
        <v>1494</v>
      </c>
      <c r="J55" s="45" t="s">
        <v>1495</v>
      </c>
      <c r="K55" s="42" t="s">
        <v>7</v>
      </c>
      <c r="L55" s="42" t="s">
        <v>1496</v>
      </c>
      <c r="M55" s="46" t="s">
        <v>4</v>
      </c>
      <c r="N55" s="46" t="s">
        <v>155</v>
      </c>
      <c r="O55" s="43" t="s">
        <v>1175</v>
      </c>
    </row>
    <row r="56" spans="1:15" ht="30" customHeight="1" x14ac:dyDescent="0.3">
      <c r="A56" s="42" t="s">
        <v>1497</v>
      </c>
      <c r="B56" s="43" t="s">
        <v>1498</v>
      </c>
      <c r="C56" s="42" t="s">
        <v>77</v>
      </c>
      <c r="D56" s="42" t="s">
        <v>147</v>
      </c>
      <c r="E56" s="42" t="s">
        <v>148</v>
      </c>
      <c r="F56" s="43" t="s">
        <v>1169</v>
      </c>
      <c r="G56" s="44" t="s">
        <v>1499</v>
      </c>
      <c r="H56" s="42" t="s">
        <v>1500</v>
      </c>
      <c r="I56" s="43" t="s">
        <v>1501</v>
      </c>
      <c r="J56" s="45" t="s">
        <v>1502</v>
      </c>
      <c r="K56" s="42" t="s">
        <v>7</v>
      </c>
      <c r="L56" s="42" t="s">
        <v>1503</v>
      </c>
      <c r="M56" s="46" t="s">
        <v>4</v>
      </c>
      <c r="N56" s="46" t="s">
        <v>155</v>
      </c>
      <c r="O56" s="43" t="s">
        <v>1175</v>
      </c>
    </row>
    <row r="57" spans="1:15" ht="45" customHeight="1" x14ac:dyDescent="0.3">
      <c r="A57" s="42" t="s">
        <v>1504</v>
      </c>
      <c r="B57" s="43" t="s">
        <v>1505</v>
      </c>
      <c r="C57" s="42" t="s">
        <v>77</v>
      </c>
      <c r="D57" s="42" t="s">
        <v>147</v>
      </c>
      <c r="E57" s="42" t="s">
        <v>273</v>
      </c>
      <c r="F57" s="43" t="s">
        <v>1169</v>
      </c>
      <c r="G57" s="44" t="s">
        <v>1506</v>
      </c>
      <c r="H57" s="42" t="s">
        <v>1507</v>
      </c>
      <c r="I57" s="43" t="s">
        <v>1508</v>
      </c>
      <c r="J57" s="45" t="s">
        <v>1509</v>
      </c>
      <c r="K57" s="42" t="s">
        <v>7</v>
      </c>
      <c r="L57" s="42" t="s">
        <v>1510</v>
      </c>
      <c r="M57" s="46" t="s">
        <v>4</v>
      </c>
      <c r="N57" s="46" t="s">
        <v>155</v>
      </c>
      <c r="O57" s="43" t="s">
        <v>1205</v>
      </c>
    </row>
    <row r="58" spans="1:15" ht="30" customHeight="1" x14ac:dyDescent="0.3">
      <c r="A58" s="42" t="s">
        <v>1511</v>
      </c>
      <c r="B58" s="43" t="s">
        <v>1512</v>
      </c>
      <c r="C58" s="42" t="s">
        <v>77</v>
      </c>
      <c r="D58" s="42" t="s">
        <v>147</v>
      </c>
      <c r="E58" s="42" t="s">
        <v>273</v>
      </c>
      <c r="F58" s="43" t="s">
        <v>1169</v>
      </c>
      <c r="G58" s="44" t="s">
        <v>1506</v>
      </c>
      <c r="H58" s="42" t="s">
        <v>1513</v>
      </c>
      <c r="I58" s="43" t="s">
        <v>1514</v>
      </c>
      <c r="J58" s="45" t="s">
        <v>1515</v>
      </c>
      <c r="K58" s="42" t="s">
        <v>7</v>
      </c>
      <c r="L58" s="42" t="s">
        <v>1510</v>
      </c>
      <c r="M58" s="46" t="s">
        <v>4</v>
      </c>
      <c r="N58" s="46" t="s">
        <v>155</v>
      </c>
      <c r="O58" s="43" t="s">
        <v>1205</v>
      </c>
    </row>
    <row r="59" spans="1:15" ht="30" customHeight="1" x14ac:dyDescent="0.3">
      <c r="A59" s="42" t="s">
        <v>1516</v>
      </c>
      <c r="B59" s="43" t="s">
        <v>1517</v>
      </c>
      <c r="C59" s="42" t="s">
        <v>77</v>
      </c>
      <c r="D59" s="42" t="s">
        <v>147</v>
      </c>
      <c r="E59" s="42" t="s">
        <v>273</v>
      </c>
      <c r="F59" s="43" t="s">
        <v>1169</v>
      </c>
      <c r="G59" s="44" t="s">
        <v>1506</v>
      </c>
      <c r="H59" s="42" t="s">
        <v>1518</v>
      </c>
      <c r="I59" s="43" t="s">
        <v>1519</v>
      </c>
      <c r="J59" s="45" t="s">
        <v>1520</v>
      </c>
      <c r="K59" s="42" t="s">
        <v>7</v>
      </c>
      <c r="L59" s="42" t="s">
        <v>1510</v>
      </c>
      <c r="M59" s="46" t="s">
        <v>4</v>
      </c>
      <c r="N59" s="46" t="s">
        <v>155</v>
      </c>
      <c r="O59" s="43" t="s">
        <v>1205</v>
      </c>
    </row>
    <row r="60" spans="1:15" ht="75" customHeight="1" x14ac:dyDescent="0.3">
      <c r="A60" s="42" t="s">
        <v>1521</v>
      </c>
      <c r="B60" s="43" t="s">
        <v>1522</v>
      </c>
      <c r="C60" s="42" t="s">
        <v>77</v>
      </c>
      <c r="D60" s="42" t="s">
        <v>147</v>
      </c>
      <c r="E60" s="42" t="s">
        <v>273</v>
      </c>
      <c r="F60" s="43" t="s">
        <v>1169</v>
      </c>
      <c r="G60" s="44" t="s">
        <v>1506</v>
      </c>
      <c r="H60" s="42" t="s">
        <v>1523</v>
      </c>
      <c r="I60" s="43" t="s">
        <v>1508</v>
      </c>
      <c r="J60" s="45" t="s">
        <v>1509</v>
      </c>
      <c r="K60" s="42" t="s">
        <v>7</v>
      </c>
      <c r="L60" s="42" t="s">
        <v>1510</v>
      </c>
      <c r="M60" s="46" t="s">
        <v>4</v>
      </c>
      <c r="N60" s="46" t="s">
        <v>155</v>
      </c>
      <c r="O60" s="43" t="s">
        <v>1205</v>
      </c>
    </row>
    <row r="61" spans="1:15" ht="75" customHeight="1" x14ac:dyDescent="0.3">
      <c r="A61" s="42" t="s">
        <v>1524</v>
      </c>
      <c r="B61" s="43" t="s">
        <v>1525</v>
      </c>
      <c r="C61" s="42" t="s">
        <v>77</v>
      </c>
      <c r="D61" s="42" t="s">
        <v>166</v>
      </c>
      <c r="E61" s="42" t="s">
        <v>203</v>
      </c>
      <c r="F61" s="43" t="s">
        <v>1169</v>
      </c>
      <c r="G61" s="44" t="s">
        <v>1506</v>
      </c>
      <c r="H61" s="42" t="s">
        <v>1526</v>
      </c>
      <c r="I61" s="43" t="s">
        <v>1527</v>
      </c>
      <c r="J61" s="45" t="s">
        <v>1528</v>
      </c>
      <c r="K61" s="42" t="s">
        <v>7</v>
      </c>
      <c r="L61" s="42" t="s">
        <v>1529</v>
      </c>
      <c r="M61" s="46" t="s">
        <v>4</v>
      </c>
      <c r="N61" s="46" t="s">
        <v>155</v>
      </c>
      <c r="O61" s="43" t="s">
        <v>1197</v>
      </c>
    </row>
    <row r="62" spans="1:15" ht="54.75" customHeight="1" x14ac:dyDescent="0.3">
      <c r="A62" s="42" t="s">
        <v>1530</v>
      </c>
      <c r="B62" s="43" t="s">
        <v>1531</v>
      </c>
      <c r="C62" s="42" t="s">
        <v>77</v>
      </c>
      <c r="D62" s="42" t="s">
        <v>166</v>
      </c>
      <c r="E62" s="42" t="s">
        <v>203</v>
      </c>
      <c r="F62" s="43" t="s">
        <v>1169</v>
      </c>
      <c r="G62" s="44" t="s">
        <v>1506</v>
      </c>
      <c r="H62" s="42" t="s">
        <v>1532</v>
      </c>
      <c r="I62" s="43" t="s">
        <v>1527</v>
      </c>
      <c r="J62" s="45" t="s">
        <v>1528</v>
      </c>
      <c r="K62" s="42" t="s">
        <v>7</v>
      </c>
      <c r="L62" s="42" t="s">
        <v>1529</v>
      </c>
      <c r="M62" s="46" t="s">
        <v>4</v>
      </c>
      <c r="N62" s="46" t="s">
        <v>155</v>
      </c>
      <c r="O62" s="43" t="s">
        <v>1197</v>
      </c>
    </row>
    <row r="63" spans="1:15" ht="54.75" customHeight="1" x14ac:dyDescent="0.3">
      <c r="A63" s="42" t="s">
        <v>1533</v>
      </c>
      <c r="B63" s="43" t="s">
        <v>1534</v>
      </c>
      <c r="C63" s="42" t="s">
        <v>77</v>
      </c>
      <c r="D63" s="42" t="s">
        <v>166</v>
      </c>
      <c r="E63" s="42" t="s">
        <v>273</v>
      </c>
      <c r="F63" s="43" t="s">
        <v>1169</v>
      </c>
      <c r="G63" s="44" t="s">
        <v>1506</v>
      </c>
      <c r="H63" s="42" t="s">
        <v>1535</v>
      </c>
      <c r="I63" s="43" t="s">
        <v>1536</v>
      </c>
      <c r="J63" s="45" t="s">
        <v>1537</v>
      </c>
      <c r="K63" s="42" t="s">
        <v>7</v>
      </c>
      <c r="L63" s="42" t="s">
        <v>1529</v>
      </c>
      <c r="M63" s="46" t="s">
        <v>4</v>
      </c>
      <c r="N63" s="46" t="s">
        <v>155</v>
      </c>
      <c r="O63" s="43" t="s">
        <v>1205</v>
      </c>
    </row>
    <row r="64" spans="1:15" ht="54.75" customHeight="1" x14ac:dyDescent="0.3">
      <c r="A64" s="42" t="s">
        <v>1538</v>
      </c>
      <c r="B64" s="43" t="s">
        <v>1539</v>
      </c>
      <c r="C64" s="42" t="s">
        <v>77</v>
      </c>
      <c r="D64" s="42" t="s">
        <v>166</v>
      </c>
      <c r="E64" s="42" t="s">
        <v>203</v>
      </c>
      <c r="F64" s="43" t="s">
        <v>1169</v>
      </c>
      <c r="G64" s="44" t="s">
        <v>1540</v>
      </c>
      <c r="H64" s="42" t="s">
        <v>1541</v>
      </c>
      <c r="I64" s="43" t="s">
        <v>1542</v>
      </c>
      <c r="J64" s="45" t="s">
        <v>1543</v>
      </c>
      <c r="K64" s="42" t="s">
        <v>7</v>
      </c>
      <c r="L64" s="42" t="s">
        <v>1544</v>
      </c>
      <c r="M64" s="46" t="s">
        <v>4</v>
      </c>
      <c r="N64" s="46" t="s">
        <v>155</v>
      </c>
      <c r="O64" s="43" t="s">
        <v>1197</v>
      </c>
    </row>
    <row r="65" spans="1:15" ht="95.25" customHeight="1" x14ac:dyDescent="0.3">
      <c r="A65" s="42" t="s">
        <v>1545</v>
      </c>
      <c r="B65" s="43" t="s">
        <v>1546</v>
      </c>
      <c r="C65" s="42" t="s">
        <v>77</v>
      </c>
      <c r="D65" s="42" t="s">
        <v>147</v>
      </c>
      <c r="E65" s="42" t="s">
        <v>1341</v>
      </c>
      <c r="F65" s="43" t="s">
        <v>1169</v>
      </c>
      <c r="G65" s="44" t="s">
        <v>1506</v>
      </c>
      <c r="H65" s="42" t="s">
        <v>1547</v>
      </c>
      <c r="I65" s="43" t="s">
        <v>1548</v>
      </c>
      <c r="J65" s="45" t="s">
        <v>1549</v>
      </c>
      <c r="K65" s="42" t="s">
        <v>7</v>
      </c>
      <c r="L65" s="42" t="s">
        <v>1550</v>
      </c>
      <c r="M65" s="46" t="s">
        <v>4</v>
      </c>
      <c r="N65" s="46" t="s">
        <v>155</v>
      </c>
      <c r="O65" s="43" t="s">
        <v>1442</v>
      </c>
    </row>
    <row r="66" spans="1:15" ht="68.25" customHeight="1" x14ac:dyDescent="0.3">
      <c r="A66" s="42" t="s">
        <v>1551</v>
      </c>
      <c r="B66" s="43" t="s">
        <v>1552</v>
      </c>
      <c r="C66" s="42" t="s">
        <v>77</v>
      </c>
      <c r="D66" s="42" t="s">
        <v>166</v>
      </c>
      <c r="E66" s="42" t="s">
        <v>203</v>
      </c>
      <c r="F66" s="43" t="s">
        <v>1169</v>
      </c>
      <c r="G66" s="44" t="s">
        <v>1506</v>
      </c>
      <c r="H66" s="42" t="s">
        <v>1553</v>
      </c>
      <c r="I66" s="43" t="s">
        <v>1554</v>
      </c>
      <c r="J66" s="45" t="s">
        <v>1555</v>
      </c>
      <c r="K66" s="42" t="s">
        <v>7</v>
      </c>
      <c r="L66" s="42" t="s">
        <v>1544</v>
      </c>
      <c r="M66" s="46" t="s">
        <v>4</v>
      </c>
      <c r="N66" s="46" t="s">
        <v>155</v>
      </c>
      <c r="O66" s="43" t="s">
        <v>1197</v>
      </c>
    </row>
    <row r="67" spans="1:15" ht="54.75" customHeight="1" x14ac:dyDescent="0.3">
      <c r="A67" s="42" t="s">
        <v>1556</v>
      </c>
      <c r="B67" s="43" t="s">
        <v>1557</v>
      </c>
      <c r="C67" s="42" t="s">
        <v>77</v>
      </c>
      <c r="D67" s="42" t="s">
        <v>147</v>
      </c>
      <c r="E67" s="42" t="s">
        <v>273</v>
      </c>
      <c r="F67" s="43" t="s">
        <v>1558</v>
      </c>
      <c r="G67" s="44" t="s">
        <v>1506</v>
      </c>
      <c r="H67" s="42" t="s">
        <v>1559</v>
      </c>
      <c r="I67" s="43" t="s">
        <v>1560</v>
      </c>
      <c r="J67" s="45" t="s">
        <v>1561</v>
      </c>
      <c r="K67" s="42" t="s">
        <v>7</v>
      </c>
      <c r="L67" s="42" t="s">
        <v>1562</v>
      </c>
      <c r="M67" s="46" t="s">
        <v>4</v>
      </c>
      <c r="N67" s="46" t="s">
        <v>155</v>
      </c>
      <c r="O67" s="43" t="s">
        <v>1205</v>
      </c>
    </row>
    <row r="68" spans="1:15" ht="68.25" customHeight="1" x14ac:dyDescent="0.3">
      <c r="A68" s="42" t="s">
        <v>1563</v>
      </c>
      <c r="B68" s="43" t="s">
        <v>1564</v>
      </c>
      <c r="C68" s="42" t="s">
        <v>77</v>
      </c>
      <c r="D68" s="42" t="s">
        <v>147</v>
      </c>
      <c r="E68" s="42" t="s">
        <v>273</v>
      </c>
      <c r="F68" s="43" t="s">
        <v>1558</v>
      </c>
      <c r="G68" s="44" t="s">
        <v>1506</v>
      </c>
      <c r="H68" s="42" t="s">
        <v>1565</v>
      </c>
      <c r="I68" s="43" t="s">
        <v>1566</v>
      </c>
      <c r="J68" s="45" t="s">
        <v>1567</v>
      </c>
      <c r="K68" s="42" t="s">
        <v>7</v>
      </c>
      <c r="L68" s="42" t="s">
        <v>1562</v>
      </c>
      <c r="M68" s="46" t="s">
        <v>4</v>
      </c>
      <c r="N68" s="46" t="s">
        <v>155</v>
      </c>
      <c r="O68" s="43" t="s">
        <v>1205</v>
      </c>
    </row>
    <row r="69" spans="1:15" ht="68.25" customHeight="1" x14ac:dyDescent="0.3">
      <c r="A69" s="42" t="s">
        <v>1568</v>
      </c>
      <c r="B69" s="43" t="s">
        <v>1569</v>
      </c>
      <c r="C69" s="42" t="s">
        <v>77</v>
      </c>
      <c r="D69" s="42" t="s">
        <v>147</v>
      </c>
      <c r="E69" s="42" t="s">
        <v>273</v>
      </c>
      <c r="F69" s="43" t="s">
        <v>1169</v>
      </c>
      <c r="G69" s="44" t="s">
        <v>1570</v>
      </c>
      <c r="H69" s="42" t="s">
        <v>1571</v>
      </c>
      <c r="I69" s="43" t="s">
        <v>1572</v>
      </c>
      <c r="J69" s="45" t="s">
        <v>1573</v>
      </c>
      <c r="K69" s="42" t="s">
        <v>7</v>
      </c>
      <c r="L69" s="42" t="s">
        <v>1574</v>
      </c>
      <c r="M69" s="46" t="s">
        <v>4</v>
      </c>
      <c r="N69" s="46" t="s">
        <v>155</v>
      </c>
      <c r="O69" s="43" t="s">
        <v>1205</v>
      </c>
    </row>
    <row r="70" spans="1:15" ht="68.25" customHeight="1" x14ac:dyDescent="0.3">
      <c r="A70" s="42" t="s">
        <v>1575</v>
      </c>
      <c r="B70" s="43" t="s">
        <v>1576</v>
      </c>
      <c r="C70" s="42" t="s">
        <v>77</v>
      </c>
      <c r="D70" s="42" t="s">
        <v>147</v>
      </c>
      <c r="E70" s="42" t="s">
        <v>1577</v>
      </c>
      <c r="F70" s="43" t="s">
        <v>1169</v>
      </c>
      <c r="G70" s="44" t="s">
        <v>1578</v>
      </c>
      <c r="H70" s="42" t="s">
        <v>1579</v>
      </c>
      <c r="I70" s="43" t="s">
        <v>1580</v>
      </c>
      <c r="J70" s="45" t="s">
        <v>1581</v>
      </c>
      <c r="K70" s="42" t="s">
        <v>7</v>
      </c>
      <c r="L70" s="42" t="s">
        <v>1582</v>
      </c>
      <c r="M70" s="46" t="s">
        <v>4</v>
      </c>
      <c r="N70" s="46" t="s">
        <v>155</v>
      </c>
      <c r="O70" s="43" t="s">
        <v>1175</v>
      </c>
    </row>
    <row r="71" spans="1:15" ht="68.25" customHeight="1" x14ac:dyDescent="0.3">
      <c r="A71" s="42" t="s">
        <v>1583</v>
      </c>
      <c r="B71" s="43" t="s">
        <v>1584</v>
      </c>
      <c r="C71" s="42" t="s">
        <v>77</v>
      </c>
      <c r="D71" s="42" t="s">
        <v>166</v>
      </c>
      <c r="E71" s="42" t="s">
        <v>273</v>
      </c>
      <c r="F71" s="43" t="s">
        <v>1169</v>
      </c>
      <c r="G71" s="44" t="s">
        <v>1585</v>
      </c>
      <c r="H71" s="42" t="s">
        <v>1586</v>
      </c>
      <c r="I71" s="43" t="s">
        <v>1587</v>
      </c>
      <c r="J71" s="45" t="s">
        <v>1588</v>
      </c>
      <c r="K71" s="42" t="s">
        <v>7</v>
      </c>
      <c r="L71" s="42" t="s">
        <v>1544</v>
      </c>
      <c r="M71" s="46" t="s">
        <v>4</v>
      </c>
      <c r="N71" s="46" t="s">
        <v>155</v>
      </c>
      <c r="O71" s="43" t="s">
        <v>1205</v>
      </c>
    </row>
    <row r="72" spans="1:15" ht="54.75" customHeight="1" x14ac:dyDescent="0.3">
      <c r="A72" s="42" t="s">
        <v>1589</v>
      </c>
      <c r="B72" s="43" t="s">
        <v>1590</v>
      </c>
      <c r="C72" s="42" t="s">
        <v>77</v>
      </c>
      <c r="D72" s="42" t="s">
        <v>231</v>
      </c>
      <c r="E72" s="42" t="s">
        <v>148</v>
      </c>
      <c r="F72" s="43" t="s">
        <v>1169</v>
      </c>
      <c r="G72" s="44" t="s">
        <v>1591</v>
      </c>
      <c r="H72" s="42" t="s">
        <v>1592</v>
      </c>
      <c r="I72" s="43" t="s">
        <v>1593</v>
      </c>
      <c r="J72" s="45" t="s">
        <v>1594</v>
      </c>
      <c r="K72" s="42" t="s">
        <v>7</v>
      </c>
      <c r="L72" s="42" t="s">
        <v>1544</v>
      </c>
      <c r="M72" s="46" t="s">
        <v>4</v>
      </c>
      <c r="N72" s="46" t="s">
        <v>155</v>
      </c>
      <c r="O72" s="43" t="s">
        <v>1175</v>
      </c>
    </row>
    <row r="73" spans="1:15" ht="68.25" customHeight="1" x14ac:dyDescent="0.3">
      <c r="A73" s="42" t="s">
        <v>1595</v>
      </c>
      <c r="B73" s="43" t="s">
        <v>1596</v>
      </c>
      <c r="C73" s="42" t="s">
        <v>77</v>
      </c>
      <c r="D73" s="42" t="s">
        <v>166</v>
      </c>
      <c r="E73" s="42" t="s">
        <v>148</v>
      </c>
      <c r="F73" s="43" t="s">
        <v>1169</v>
      </c>
      <c r="G73" s="44" t="s">
        <v>1597</v>
      </c>
      <c r="H73" s="42" t="s">
        <v>1598</v>
      </c>
      <c r="I73" s="43" t="s">
        <v>1599</v>
      </c>
      <c r="J73" s="45" t="s">
        <v>1600</v>
      </c>
      <c r="K73" s="42" t="s">
        <v>7</v>
      </c>
      <c r="L73" s="42" t="s">
        <v>1544</v>
      </c>
      <c r="M73" s="46" t="s">
        <v>4</v>
      </c>
      <c r="N73" s="46" t="s">
        <v>155</v>
      </c>
      <c r="O73" s="43" t="s">
        <v>1601</v>
      </c>
    </row>
    <row r="74" spans="1:15" ht="68.25" customHeight="1" x14ac:dyDescent="0.3">
      <c r="A74" s="42" t="s">
        <v>1602</v>
      </c>
      <c r="B74" s="43" t="s">
        <v>1603</v>
      </c>
      <c r="C74" s="42" t="s">
        <v>77</v>
      </c>
      <c r="D74" s="42" t="s">
        <v>166</v>
      </c>
      <c r="E74" s="42" t="s">
        <v>203</v>
      </c>
      <c r="F74" s="43" t="s">
        <v>1169</v>
      </c>
      <c r="G74" s="44" t="s">
        <v>1604</v>
      </c>
      <c r="H74" s="42" t="s">
        <v>1605</v>
      </c>
      <c r="I74" s="43" t="s">
        <v>1606</v>
      </c>
      <c r="J74" s="45" t="s">
        <v>1607</v>
      </c>
      <c r="K74" s="42" t="s">
        <v>7</v>
      </c>
      <c r="L74" s="42" t="s">
        <v>1544</v>
      </c>
      <c r="M74" s="46" t="s">
        <v>4</v>
      </c>
      <c r="N74" s="46" t="s">
        <v>155</v>
      </c>
      <c r="O74" s="43" t="s">
        <v>1197</v>
      </c>
    </row>
    <row r="75" spans="1:15" ht="54.75" customHeight="1" x14ac:dyDescent="0.3">
      <c r="A75" s="42" t="s">
        <v>1608</v>
      </c>
      <c r="B75" s="43" t="s">
        <v>1609</v>
      </c>
      <c r="C75" s="42" t="s">
        <v>77</v>
      </c>
      <c r="D75" s="42" t="s">
        <v>147</v>
      </c>
      <c r="E75" s="42" t="s">
        <v>1341</v>
      </c>
      <c r="F75" s="43" t="s">
        <v>1342</v>
      </c>
      <c r="G75" s="44" t="s">
        <v>1610</v>
      </c>
      <c r="H75" s="42" t="s">
        <v>1344</v>
      </c>
      <c r="I75" s="43" t="s">
        <v>1345</v>
      </c>
      <c r="J75" s="45" t="s">
        <v>1346</v>
      </c>
      <c r="K75" s="42" t="s">
        <v>7</v>
      </c>
      <c r="L75" s="42" t="s">
        <v>1544</v>
      </c>
      <c r="M75" s="46" t="s">
        <v>4</v>
      </c>
      <c r="N75" s="46" t="s">
        <v>155</v>
      </c>
      <c r="O75" s="43" t="s">
        <v>1347</v>
      </c>
    </row>
    <row r="76" spans="1:15" ht="68.25" customHeight="1" x14ac:dyDescent="0.3">
      <c r="A76" s="42" t="s">
        <v>1611</v>
      </c>
      <c r="B76" s="43" t="s">
        <v>1612</v>
      </c>
      <c r="C76" s="42" t="s">
        <v>79</v>
      </c>
      <c r="D76" s="42" t="s">
        <v>166</v>
      </c>
      <c r="E76" s="42" t="s">
        <v>148</v>
      </c>
      <c r="F76" s="43" t="s">
        <v>1613</v>
      </c>
      <c r="G76" s="44" t="s">
        <v>1614</v>
      </c>
      <c r="H76" s="42" t="s">
        <v>1615</v>
      </c>
      <c r="I76" s="43" t="s">
        <v>1616</v>
      </c>
      <c r="J76" s="45" t="s">
        <v>1617</v>
      </c>
      <c r="K76" s="42" t="s">
        <v>7</v>
      </c>
      <c r="L76" s="42" t="s">
        <v>1618</v>
      </c>
      <c r="M76" s="46" t="s">
        <v>4</v>
      </c>
      <c r="N76" s="46" t="s">
        <v>155</v>
      </c>
      <c r="O76" s="43" t="s">
        <v>1175</v>
      </c>
    </row>
    <row r="77" spans="1:15" ht="68.25" customHeight="1" x14ac:dyDescent="0.3">
      <c r="A77" s="42" t="s">
        <v>1619</v>
      </c>
      <c r="B77" s="43" t="s">
        <v>1620</v>
      </c>
      <c r="C77" s="42" t="s">
        <v>79</v>
      </c>
      <c r="D77" s="42" t="s">
        <v>147</v>
      </c>
      <c r="E77" s="42" t="s">
        <v>148</v>
      </c>
      <c r="F77" s="43" t="s">
        <v>1613</v>
      </c>
      <c r="G77" s="44" t="s">
        <v>1621</v>
      </c>
      <c r="H77" s="42" t="s">
        <v>1622</v>
      </c>
      <c r="I77" s="43" t="s">
        <v>1623</v>
      </c>
      <c r="J77" s="45" t="s">
        <v>1624</v>
      </c>
      <c r="K77" s="42" t="s">
        <v>7</v>
      </c>
      <c r="L77" s="42" t="s">
        <v>1625</v>
      </c>
      <c r="M77" s="46" t="s">
        <v>4</v>
      </c>
      <c r="N77" s="46" t="s">
        <v>155</v>
      </c>
      <c r="O77" s="43" t="s">
        <v>1175</v>
      </c>
    </row>
    <row r="78" spans="1:15" ht="54.75" customHeight="1" x14ac:dyDescent="0.3">
      <c r="A78" s="42" t="s">
        <v>1626</v>
      </c>
      <c r="B78" s="43" t="s">
        <v>1627</v>
      </c>
      <c r="C78" s="42" t="s">
        <v>79</v>
      </c>
      <c r="D78" s="42" t="s">
        <v>147</v>
      </c>
      <c r="E78" s="42" t="s">
        <v>1341</v>
      </c>
      <c r="F78" s="43" t="s">
        <v>1628</v>
      </c>
      <c r="G78" s="44" t="s">
        <v>1629</v>
      </c>
      <c r="H78" s="42" t="s">
        <v>1630</v>
      </c>
      <c r="I78" s="43" t="s">
        <v>1631</v>
      </c>
      <c r="J78" s="45" t="s">
        <v>1632</v>
      </c>
      <c r="K78" s="42" t="s">
        <v>7</v>
      </c>
      <c r="L78" s="42" t="s">
        <v>1633</v>
      </c>
      <c r="M78" s="46" t="s">
        <v>4</v>
      </c>
      <c r="N78" s="46" t="s">
        <v>155</v>
      </c>
      <c r="O78" s="43" t="s">
        <v>1442</v>
      </c>
    </row>
    <row r="79" spans="1:15" ht="54.75" customHeight="1" x14ac:dyDescent="0.3">
      <c r="A79" s="42" t="s">
        <v>1634</v>
      </c>
      <c r="B79" s="43" t="s">
        <v>1635</v>
      </c>
      <c r="C79" s="42" t="s">
        <v>79</v>
      </c>
      <c r="D79" s="42" t="s">
        <v>231</v>
      </c>
      <c r="E79" s="42" t="s">
        <v>203</v>
      </c>
      <c r="F79" s="43" t="s">
        <v>1169</v>
      </c>
      <c r="G79" s="44" t="s">
        <v>1636</v>
      </c>
      <c r="H79" s="42" t="s">
        <v>1637</v>
      </c>
      <c r="I79" s="43" t="s">
        <v>1478</v>
      </c>
      <c r="J79" s="45" t="s">
        <v>1479</v>
      </c>
      <c r="K79" s="42" t="s">
        <v>7</v>
      </c>
      <c r="L79" s="42" t="s">
        <v>1638</v>
      </c>
      <c r="M79" s="46" t="s">
        <v>4</v>
      </c>
      <c r="N79" s="46" t="s">
        <v>155</v>
      </c>
      <c r="O79" s="43" t="s">
        <v>1197</v>
      </c>
    </row>
    <row r="80" spans="1:15" ht="54.75" customHeight="1" x14ac:dyDescent="0.3">
      <c r="A80" s="42" t="s">
        <v>1639</v>
      </c>
      <c r="B80" s="43" t="s">
        <v>1640</v>
      </c>
      <c r="C80" s="42" t="s">
        <v>79</v>
      </c>
      <c r="D80" s="42" t="s">
        <v>166</v>
      </c>
      <c r="E80" s="42" t="s">
        <v>148</v>
      </c>
      <c r="F80" s="43" t="s">
        <v>1641</v>
      </c>
      <c r="G80" s="44" t="s">
        <v>1642</v>
      </c>
      <c r="H80" s="42" t="s">
        <v>1117</v>
      </c>
      <c r="I80" s="43" t="s">
        <v>1643</v>
      </c>
      <c r="J80" s="45" t="s">
        <v>1644</v>
      </c>
      <c r="K80" s="42" t="s">
        <v>7</v>
      </c>
      <c r="L80" s="42" t="s">
        <v>1638</v>
      </c>
      <c r="M80" s="43" t="s">
        <v>5</v>
      </c>
      <c r="N80" s="43" t="s">
        <v>192</v>
      </c>
      <c r="O80" s="43" t="s">
        <v>1645</v>
      </c>
    </row>
    <row r="81" spans="1:15" ht="54.75" customHeight="1" x14ac:dyDescent="0.3">
      <c r="A81" s="42" t="s">
        <v>1646</v>
      </c>
      <c r="B81" s="43" t="s">
        <v>1647</v>
      </c>
      <c r="C81" s="42" t="s">
        <v>79</v>
      </c>
      <c r="D81" s="42" t="s">
        <v>147</v>
      </c>
      <c r="E81" s="42" t="s">
        <v>1341</v>
      </c>
      <c r="F81" s="43" t="s">
        <v>1342</v>
      </c>
      <c r="G81" s="44" t="s">
        <v>1648</v>
      </c>
      <c r="H81" s="42" t="s">
        <v>1344</v>
      </c>
      <c r="I81" s="43" t="s">
        <v>1345</v>
      </c>
      <c r="J81" s="45" t="s">
        <v>1346</v>
      </c>
      <c r="K81" s="42" t="s">
        <v>7</v>
      </c>
      <c r="L81" s="42" t="s">
        <v>1638</v>
      </c>
      <c r="M81" s="46" t="s">
        <v>4</v>
      </c>
      <c r="N81" s="46" t="s">
        <v>155</v>
      </c>
      <c r="O81" s="43" t="s">
        <v>1347</v>
      </c>
    </row>
    <row r="82" spans="1:15" ht="81.75" customHeight="1" x14ac:dyDescent="0.3">
      <c r="A82" s="42" t="s">
        <v>1649</v>
      </c>
      <c r="B82" s="43" t="s">
        <v>1650</v>
      </c>
      <c r="C82" s="42" t="s">
        <v>81</v>
      </c>
      <c r="D82" s="42" t="s">
        <v>147</v>
      </c>
      <c r="E82" s="42" t="s">
        <v>1577</v>
      </c>
      <c r="F82" s="43" t="s">
        <v>1613</v>
      </c>
      <c r="G82" s="44" t="s">
        <v>1651</v>
      </c>
      <c r="H82" s="42" t="s">
        <v>1652</v>
      </c>
      <c r="I82" s="43" t="s">
        <v>1653</v>
      </c>
      <c r="J82" s="45" t="s">
        <v>1654</v>
      </c>
      <c r="K82" s="42" t="s">
        <v>7</v>
      </c>
      <c r="L82" s="42" t="s">
        <v>1655</v>
      </c>
      <c r="M82" s="46" t="s">
        <v>4</v>
      </c>
      <c r="N82" s="46" t="s">
        <v>155</v>
      </c>
      <c r="O82" s="43" t="s">
        <v>1656</v>
      </c>
    </row>
    <row r="83" spans="1:15" ht="68.25" customHeight="1" x14ac:dyDescent="0.3">
      <c r="A83" s="42" t="s">
        <v>1657</v>
      </c>
      <c r="B83" s="43" t="s">
        <v>1658</v>
      </c>
      <c r="C83" s="42" t="s">
        <v>81</v>
      </c>
      <c r="D83" s="42" t="s">
        <v>147</v>
      </c>
      <c r="E83" s="42" t="s">
        <v>1577</v>
      </c>
      <c r="F83" s="43" t="s">
        <v>1613</v>
      </c>
      <c r="G83" s="44" t="s">
        <v>1651</v>
      </c>
      <c r="H83" s="42" t="s">
        <v>1659</v>
      </c>
      <c r="I83" s="43" t="s">
        <v>1660</v>
      </c>
      <c r="J83" s="45" t="s">
        <v>1661</v>
      </c>
      <c r="K83" s="42" t="s">
        <v>7</v>
      </c>
      <c r="L83" s="42" t="s">
        <v>1662</v>
      </c>
      <c r="M83" s="46" t="s">
        <v>4</v>
      </c>
      <c r="N83" s="46" t="s">
        <v>155</v>
      </c>
      <c r="O83" s="43" t="s">
        <v>1656</v>
      </c>
    </row>
    <row r="84" spans="1:15" ht="68.25" customHeight="1" x14ac:dyDescent="0.3">
      <c r="A84" s="42" t="s">
        <v>1663</v>
      </c>
      <c r="B84" s="43" t="s">
        <v>1664</v>
      </c>
      <c r="C84" s="42" t="s">
        <v>81</v>
      </c>
      <c r="D84" s="42" t="s">
        <v>147</v>
      </c>
      <c r="E84" s="42" t="s">
        <v>1577</v>
      </c>
      <c r="F84" s="43" t="s">
        <v>1613</v>
      </c>
      <c r="G84" s="44" t="s">
        <v>1651</v>
      </c>
      <c r="H84" s="42" t="s">
        <v>1665</v>
      </c>
      <c r="I84" s="43" t="s">
        <v>1666</v>
      </c>
      <c r="J84" s="45" t="s">
        <v>1667</v>
      </c>
      <c r="K84" s="42" t="s">
        <v>7</v>
      </c>
      <c r="L84" s="42" t="s">
        <v>1662</v>
      </c>
      <c r="M84" s="46" t="s">
        <v>4</v>
      </c>
      <c r="N84" s="46" t="s">
        <v>155</v>
      </c>
      <c r="O84" s="43" t="s">
        <v>1656</v>
      </c>
    </row>
    <row r="85" spans="1:15" ht="54.75" customHeight="1" x14ac:dyDescent="0.3">
      <c r="A85" s="42" t="s">
        <v>1668</v>
      </c>
      <c r="B85" s="43" t="s">
        <v>1669</v>
      </c>
      <c r="C85" s="42" t="s">
        <v>81</v>
      </c>
      <c r="D85" s="42" t="s">
        <v>147</v>
      </c>
      <c r="E85" s="42" t="s">
        <v>1577</v>
      </c>
      <c r="F85" s="43" t="s">
        <v>1670</v>
      </c>
      <c r="G85" s="44" t="s">
        <v>1651</v>
      </c>
      <c r="H85" s="42" t="s">
        <v>1665</v>
      </c>
      <c r="I85" s="43" t="s">
        <v>1671</v>
      </c>
      <c r="J85" s="45" t="s">
        <v>1672</v>
      </c>
      <c r="K85" s="42" t="s">
        <v>7</v>
      </c>
      <c r="L85" s="42" t="s">
        <v>1673</v>
      </c>
      <c r="M85" s="46" t="s">
        <v>4</v>
      </c>
      <c r="N85" s="46" t="s">
        <v>155</v>
      </c>
      <c r="O85" s="43" t="s">
        <v>1656</v>
      </c>
    </row>
    <row r="86" spans="1:15" ht="54.75" customHeight="1" x14ac:dyDescent="0.3">
      <c r="A86" s="42" t="s">
        <v>1674</v>
      </c>
      <c r="B86" s="43" t="s">
        <v>1675</v>
      </c>
      <c r="C86" s="42" t="s">
        <v>81</v>
      </c>
      <c r="D86" s="42" t="s">
        <v>166</v>
      </c>
      <c r="E86" s="42" t="s">
        <v>1577</v>
      </c>
      <c r="F86" s="43" t="s">
        <v>1670</v>
      </c>
      <c r="G86" s="44" t="s">
        <v>1651</v>
      </c>
      <c r="H86" s="42" t="s">
        <v>1659</v>
      </c>
      <c r="I86" s="43" t="s">
        <v>1671</v>
      </c>
      <c r="J86" s="45" t="s">
        <v>1672</v>
      </c>
      <c r="K86" s="42" t="s">
        <v>7</v>
      </c>
      <c r="L86" s="42" t="s">
        <v>1673</v>
      </c>
      <c r="M86" s="46" t="s">
        <v>4</v>
      </c>
      <c r="N86" s="46" t="s">
        <v>155</v>
      </c>
      <c r="O86" s="43" t="s">
        <v>1656</v>
      </c>
    </row>
    <row r="87" spans="1:15" ht="54.75" customHeight="1" x14ac:dyDescent="0.3">
      <c r="A87" s="42" t="s">
        <v>1676</v>
      </c>
      <c r="B87" s="43" t="s">
        <v>1677</v>
      </c>
      <c r="C87" s="42" t="s">
        <v>81</v>
      </c>
      <c r="D87" s="42" t="s">
        <v>147</v>
      </c>
      <c r="E87" s="42" t="s">
        <v>1577</v>
      </c>
      <c r="F87" s="43" t="s">
        <v>1670</v>
      </c>
      <c r="G87" s="44" t="s">
        <v>1651</v>
      </c>
      <c r="H87" s="42" t="s">
        <v>1652</v>
      </c>
      <c r="I87" s="43" t="s">
        <v>1678</v>
      </c>
      <c r="J87" s="45" t="s">
        <v>1679</v>
      </c>
      <c r="K87" s="42" t="s">
        <v>7</v>
      </c>
      <c r="L87" s="42" t="s">
        <v>1680</v>
      </c>
      <c r="M87" s="46" t="s">
        <v>4</v>
      </c>
      <c r="N87" s="46" t="s">
        <v>155</v>
      </c>
      <c r="O87" s="43" t="s">
        <v>1656</v>
      </c>
    </row>
    <row r="88" spans="1:15" ht="54.75" customHeight="1" x14ac:dyDescent="0.3">
      <c r="A88" s="42" t="s">
        <v>1681</v>
      </c>
      <c r="B88" s="43" t="s">
        <v>1682</v>
      </c>
      <c r="C88" s="42" t="s">
        <v>81</v>
      </c>
      <c r="D88" s="42" t="s">
        <v>147</v>
      </c>
      <c r="E88" s="42" t="s">
        <v>1577</v>
      </c>
      <c r="F88" s="43" t="s">
        <v>1683</v>
      </c>
      <c r="G88" s="44" t="s">
        <v>1651</v>
      </c>
      <c r="H88" s="42" t="s">
        <v>1652</v>
      </c>
      <c r="I88" s="43" t="s">
        <v>1684</v>
      </c>
      <c r="J88" s="45" t="s">
        <v>1685</v>
      </c>
      <c r="K88" s="42" t="s">
        <v>7</v>
      </c>
      <c r="L88" s="42" t="s">
        <v>1686</v>
      </c>
      <c r="M88" s="46" t="s">
        <v>4</v>
      </c>
      <c r="N88" s="46" t="s">
        <v>155</v>
      </c>
      <c r="O88" s="43" t="s">
        <v>1656</v>
      </c>
    </row>
    <row r="89" spans="1:15" ht="54.75" customHeight="1" x14ac:dyDescent="0.3">
      <c r="A89" s="42" t="s">
        <v>1687</v>
      </c>
      <c r="B89" s="43" t="s">
        <v>1688</v>
      </c>
      <c r="C89" s="42" t="s">
        <v>81</v>
      </c>
      <c r="D89" s="42" t="s">
        <v>166</v>
      </c>
      <c r="E89" s="42" t="s">
        <v>1577</v>
      </c>
      <c r="F89" s="43" t="s">
        <v>1683</v>
      </c>
      <c r="G89" s="44" t="s">
        <v>1689</v>
      </c>
      <c r="H89" s="42" t="s">
        <v>1665</v>
      </c>
      <c r="I89" s="43" t="s">
        <v>1684</v>
      </c>
      <c r="J89" s="45" t="s">
        <v>1685</v>
      </c>
      <c r="K89" s="42" t="s">
        <v>7</v>
      </c>
      <c r="L89" s="42" t="s">
        <v>1686</v>
      </c>
      <c r="M89" s="46" t="s">
        <v>4</v>
      </c>
      <c r="N89" s="46" t="s">
        <v>155</v>
      </c>
      <c r="O89" s="43" t="s">
        <v>1656</v>
      </c>
    </row>
    <row r="90" spans="1:15" ht="68.25" customHeight="1" x14ac:dyDescent="0.3">
      <c r="A90" s="42" t="s">
        <v>1690</v>
      </c>
      <c r="B90" s="43" t="s">
        <v>1691</v>
      </c>
      <c r="C90" s="42" t="s">
        <v>81</v>
      </c>
      <c r="D90" s="42" t="s">
        <v>166</v>
      </c>
      <c r="E90" s="42" t="s">
        <v>203</v>
      </c>
      <c r="F90" s="43" t="s">
        <v>1613</v>
      </c>
      <c r="G90" s="44" t="s">
        <v>1651</v>
      </c>
      <c r="H90" s="42" t="s">
        <v>1692</v>
      </c>
      <c r="I90" s="43" t="s">
        <v>1693</v>
      </c>
      <c r="J90" s="45" t="s">
        <v>1694</v>
      </c>
      <c r="K90" s="42" t="s">
        <v>7</v>
      </c>
      <c r="L90" s="42" t="s">
        <v>1695</v>
      </c>
      <c r="M90" s="46" t="s">
        <v>4</v>
      </c>
      <c r="N90" s="46" t="s">
        <v>155</v>
      </c>
      <c r="O90" s="43" t="s">
        <v>1197</v>
      </c>
    </row>
    <row r="91" spans="1:15" ht="68.25" customHeight="1" x14ac:dyDescent="0.3">
      <c r="A91" s="42" t="s">
        <v>1696</v>
      </c>
      <c r="B91" s="43" t="s">
        <v>1697</v>
      </c>
      <c r="C91" s="42" t="s">
        <v>81</v>
      </c>
      <c r="D91" s="42" t="s">
        <v>166</v>
      </c>
      <c r="E91" s="42" t="s">
        <v>203</v>
      </c>
      <c r="F91" s="43" t="s">
        <v>1613</v>
      </c>
      <c r="G91" s="44" t="s">
        <v>1698</v>
      </c>
      <c r="H91" s="42" t="s">
        <v>1699</v>
      </c>
      <c r="I91" s="43" t="s">
        <v>1693</v>
      </c>
      <c r="J91" s="45" t="s">
        <v>1694</v>
      </c>
      <c r="K91" s="42" t="s">
        <v>7</v>
      </c>
      <c r="L91" s="42" t="s">
        <v>1695</v>
      </c>
      <c r="M91" s="46" t="s">
        <v>4</v>
      </c>
      <c r="N91" s="46" t="s">
        <v>155</v>
      </c>
      <c r="O91" s="43" t="s">
        <v>1197</v>
      </c>
    </row>
    <row r="92" spans="1:15" ht="54.75" customHeight="1" x14ac:dyDescent="0.3">
      <c r="A92" s="42" t="s">
        <v>1700</v>
      </c>
      <c r="B92" s="43" t="s">
        <v>1701</v>
      </c>
      <c r="C92" s="42" t="s">
        <v>81</v>
      </c>
      <c r="D92" s="42" t="s">
        <v>166</v>
      </c>
      <c r="E92" s="42" t="s">
        <v>203</v>
      </c>
      <c r="F92" s="43" t="s">
        <v>1613</v>
      </c>
      <c r="G92" s="44" t="s">
        <v>1702</v>
      </c>
      <c r="H92" s="42" t="s">
        <v>1703</v>
      </c>
      <c r="I92" s="43" t="s">
        <v>1332</v>
      </c>
      <c r="J92" s="45" t="s">
        <v>1333</v>
      </c>
      <c r="K92" s="42" t="s">
        <v>7</v>
      </c>
      <c r="L92" s="42" t="s">
        <v>1704</v>
      </c>
      <c r="M92" s="46" t="s">
        <v>4</v>
      </c>
      <c r="N92" s="46" t="s">
        <v>155</v>
      </c>
      <c r="O92" s="43" t="s">
        <v>1197</v>
      </c>
    </row>
    <row r="93" spans="1:15" ht="54.75" customHeight="1" x14ac:dyDescent="0.3">
      <c r="A93" s="42" t="s">
        <v>1705</v>
      </c>
      <c r="B93" s="43" t="s">
        <v>1635</v>
      </c>
      <c r="C93" s="42" t="s">
        <v>81</v>
      </c>
      <c r="D93" s="42" t="s">
        <v>231</v>
      </c>
      <c r="E93" s="42" t="s">
        <v>203</v>
      </c>
      <c r="F93" s="43" t="s">
        <v>1169</v>
      </c>
      <c r="G93" s="44" t="s">
        <v>1706</v>
      </c>
      <c r="H93" s="42" t="s">
        <v>1652</v>
      </c>
      <c r="I93" s="43" t="s">
        <v>1478</v>
      </c>
      <c r="J93" s="45" t="s">
        <v>1479</v>
      </c>
      <c r="K93" s="42" t="s">
        <v>7</v>
      </c>
      <c r="L93" s="42" t="s">
        <v>1704</v>
      </c>
      <c r="M93" s="46" t="s">
        <v>4</v>
      </c>
      <c r="N93" s="46" t="s">
        <v>155</v>
      </c>
      <c r="O93" s="43" t="s">
        <v>1197</v>
      </c>
    </row>
    <row r="94" spans="1:15" ht="68.25" customHeight="1" x14ac:dyDescent="0.3">
      <c r="A94" s="42" t="s">
        <v>1707</v>
      </c>
      <c r="B94" s="43" t="s">
        <v>1708</v>
      </c>
      <c r="C94" s="42" t="s">
        <v>81</v>
      </c>
      <c r="D94" s="42" t="s">
        <v>147</v>
      </c>
      <c r="E94" s="42" t="s">
        <v>1341</v>
      </c>
      <c r="F94" s="43" t="s">
        <v>1628</v>
      </c>
      <c r="G94" s="44" t="s">
        <v>1709</v>
      </c>
      <c r="H94" s="42" t="s">
        <v>1659</v>
      </c>
      <c r="I94" s="43" t="s">
        <v>1710</v>
      </c>
      <c r="J94" s="45" t="s">
        <v>1711</v>
      </c>
      <c r="K94" s="42" t="s">
        <v>7</v>
      </c>
      <c r="L94" s="42" t="s">
        <v>1704</v>
      </c>
      <c r="M94" s="46" t="s">
        <v>4</v>
      </c>
      <c r="N94" s="46" t="s">
        <v>155</v>
      </c>
      <c r="O94" s="43" t="s">
        <v>1442</v>
      </c>
    </row>
    <row r="95" spans="1:15" ht="81.75" customHeight="1" x14ac:dyDescent="0.3">
      <c r="A95" s="42" t="s">
        <v>1712</v>
      </c>
      <c r="B95" s="43" t="s">
        <v>1713</v>
      </c>
      <c r="C95" s="42" t="s">
        <v>81</v>
      </c>
      <c r="D95" s="42" t="s">
        <v>231</v>
      </c>
      <c r="E95" s="42" t="s">
        <v>1317</v>
      </c>
      <c r="F95" s="43" t="s">
        <v>1169</v>
      </c>
      <c r="G95" s="44" t="s">
        <v>1706</v>
      </c>
      <c r="H95" s="42" t="s">
        <v>1692</v>
      </c>
      <c r="I95" s="43" t="s">
        <v>1714</v>
      </c>
      <c r="J95" s="45" t="s">
        <v>1715</v>
      </c>
      <c r="K95" s="42" t="s">
        <v>7</v>
      </c>
      <c r="L95" s="42" t="s">
        <v>1704</v>
      </c>
      <c r="M95" s="46" t="s">
        <v>4</v>
      </c>
      <c r="N95" s="46" t="s">
        <v>155</v>
      </c>
      <c r="O95" s="43" t="s">
        <v>1321</v>
      </c>
    </row>
    <row r="96" spans="1:15" ht="54.75" customHeight="1" x14ac:dyDescent="0.3">
      <c r="A96" s="42" t="s">
        <v>1716</v>
      </c>
      <c r="B96" s="43" t="s">
        <v>1717</v>
      </c>
      <c r="C96" s="42" t="s">
        <v>81</v>
      </c>
      <c r="D96" s="42" t="s">
        <v>147</v>
      </c>
      <c r="E96" s="42" t="s">
        <v>203</v>
      </c>
      <c r="F96" s="43" t="s">
        <v>1670</v>
      </c>
      <c r="G96" s="44" t="s">
        <v>1718</v>
      </c>
      <c r="H96" s="42" t="s">
        <v>1719</v>
      </c>
      <c r="I96" s="43" t="s">
        <v>1720</v>
      </c>
      <c r="J96" s="45" t="s">
        <v>1721</v>
      </c>
      <c r="K96" s="42" t="s">
        <v>7</v>
      </c>
      <c r="L96" s="42" t="s">
        <v>1722</v>
      </c>
      <c r="M96" s="46" t="s">
        <v>4</v>
      </c>
      <c r="N96" s="46" t="s">
        <v>155</v>
      </c>
      <c r="O96" s="43" t="s">
        <v>1175</v>
      </c>
    </row>
    <row r="97" spans="1:15" ht="54.75" customHeight="1" x14ac:dyDescent="0.3">
      <c r="A97" s="42" t="s">
        <v>1723</v>
      </c>
      <c r="B97" s="43" t="s">
        <v>1724</v>
      </c>
      <c r="C97" s="42" t="s">
        <v>81</v>
      </c>
      <c r="D97" s="42" t="s">
        <v>147</v>
      </c>
      <c r="E97" s="42" t="s">
        <v>203</v>
      </c>
      <c r="F97" s="43" t="s">
        <v>1683</v>
      </c>
      <c r="G97" s="44" t="s">
        <v>1718</v>
      </c>
      <c r="H97" s="42" t="s">
        <v>1719</v>
      </c>
      <c r="I97" s="43" t="s">
        <v>1720</v>
      </c>
      <c r="J97" s="45" t="s">
        <v>1721</v>
      </c>
      <c r="K97" s="42" t="s">
        <v>7</v>
      </c>
      <c r="L97" s="42" t="s">
        <v>1722</v>
      </c>
      <c r="M97" s="46" t="s">
        <v>4</v>
      </c>
      <c r="N97" s="46" t="s">
        <v>155</v>
      </c>
      <c r="O97" s="43" t="s">
        <v>1175</v>
      </c>
    </row>
    <row r="98" spans="1:15" ht="68.25" customHeight="1" x14ac:dyDescent="0.3">
      <c r="A98" s="42" t="s">
        <v>1725</v>
      </c>
      <c r="B98" s="43" t="s">
        <v>1726</v>
      </c>
      <c r="C98" s="42" t="s">
        <v>81</v>
      </c>
      <c r="D98" s="42" t="s">
        <v>231</v>
      </c>
      <c r="E98" s="42" t="s">
        <v>1577</v>
      </c>
      <c r="F98" s="43" t="s">
        <v>1670</v>
      </c>
      <c r="G98" s="44" t="s">
        <v>1727</v>
      </c>
      <c r="H98" s="42" t="s">
        <v>1665</v>
      </c>
      <c r="I98" s="43" t="s">
        <v>1728</v>
      </c>
      <c r="J98" s="45" t="s">
        <v>1729</v>
      </c>
      <c r="K98" s="42" t="s">
        <v>7</v>
      </c>
      <c r="L98" s="42" t="s">
        <v>1704</v>
      </c>
      <c r="M98" s="43" t="s">
        <v>5</v>
      </c>
      <c r="N98" s="43" t="s">
        <v>192</v>
      </c>
      <c r="O98" s="43" t="s">
        <v>1274</v>
      </c>
    </row>
    <row r="99" spans="1:15" ht="68.25" customHeight="1" x14ac:dyDescent="0.3">
      <c r="A99" s="42" t="s">
        <v>1730</v>
      </c>
      <c r="B99" s="43" t="s">
        <v>1731</v>
      </c>
      <c r="C99" s="42" t="s">
        <v>81</v>
      </c>
      <c r="D99" s="42" t="s">
        <v>231</v>
      </c>
      <c r="E99" s="42" t="s">
        <v>203</v>
      </c>
      <c r="F99" s="43" t="s">
        <v>1613</v>
      </c>
      <c r="G99" s="44" t="s">
        <v>1651</v>
      </c>
      <c r="H99" s="42" t="s">
        <v>1732</v>
      </c>
      <c r="I99" s="43" t="s">
        <v>1733</v>
      </c>
      <c r="J99" s="45" t="s">
        <v>1734</v>
      </c>
      <c r="K99" s="42" t="s">
        <v>7</v>
      </c>
      <c r="L99" s="42" t="s">
        <v>1704</v>
      </c>
      <c r="M99" s="43" t="s">
        <v>5</v>
      </c>
      <c r="N99" s="43" t="s">
        <v>192</v>
      </c>
      <c r="O99" s="43" t="s">
        <v>1274</v>
      </c>
    </row>
    <row r="100" spans="1:15" ht="54.75" customHeight="1" x14ac:dyDescent="0.3">
      <c r="A100" s="42" t="s">
        <v>1735</v>
      </c>
      <c r="B100" s="43" t="s">
        <v>1736</v>
      </c>
      <c r="C100" s="42" t="s">
        <v>81</v>
      </c>
      <c r="D100" s="42" t="s">
        <v>147</v>
      </c>
      <c r="E100" s="42" t="s">
        <v>1341</v>
      </c>
      <c r="F100" s="43" t="s">
        <v>1342</v>
      </c>
      <c r="G100" s="44" t="s">
        <v>1737</v>
      </c>
      <c r="H100" s="42" t="s">
        <v>1344</v>
      </c>
      <c r="I100" s="43" t="s">
        <v>1345</v>
      </c>
      <c r="J100" s="45" t="s">
        <v>1346</v>
      </c>
      <c r="K100" s="42" t="s">
        <v>7</v>
      </c>
      <c r="L100" s="42" t="s">
        <v>1704</v>
      </c>
      <c r="M100" s="46" t="s">
        <v>4</v>
      </c>
      <c r="N100" s="46" t="s">
        <v>155</v>
      </c>
      <c r="O100" s="43" t="s">
        <v>1347</v>
      </c>
    </row>
    <row r="101" spans="1:15" ht="68.25" customHeight="1" x14ac:dyDescent="0.3">
      <c r="A101" s="42" t="s">
        <v>1738</v>
      </c>
      <c r="B101" s="43" t="s">
        <v>1739</v>
      </c>
      <c r="C101" s="42" t="s">
        <v>83</v>
      </c>
      <c r="D101" s="42" t="s">
        <v>166</v>
      </c>
      <c r="E101" s="42" t="s">
        <v>1577</v>
      </c>
      <c r="F101" s="43" t="s">
        <v>1670</v>
      </c>
      <c r="G101" s="44" t="s">
        <v>1740</v>
      </c>
      <c r="H101" s="42" t="s">
        <v>1117</v>
      </c>
      <c r="I101" s="43" t="s">
        <v>1741</v>
      </c>
      <c r="J101" s="45" t="s">
        <v>1742</v>
      </c>
      <c r="K101" s="42" t="s">
        <v>7</v>
      </c>
      <c r="L101" s="42" t="s">
        <v>1743</v>
      </c>
      <c r="M101" s="46" t="s">
        <v>4</v>
      </c>
      <c r="N101" s="46" t="s">
        <v>155</v>
      </c>
      <c r="O101" s="43" t="s">
        <v>1656</v>
      </c>
    </row>
    <row r="102" spans="1:15" ht="54.75" customHeight="1" x14ac:dyDescent="0.3">
      <c r="A102" s="42" t="s">
        <v>1744</v>
      </c>
      <c r="B102" s="43" t="s">
        <v>1745</v>
      </c>
      <c r="C102" s="42" t="s">
        <v>83</v>
      </c>
      <c r="D102" s="42" t="s">
        <v>166</v>
      </c>
      <c r="E102" s="42" t="s">
        <v>1577</v>
      </c>
      <c r="F102" s="43" t="s">
        <v>1613</v>
      </c>
      <c r="G102" s="44" t="s">
        <v>1740</v>
      </c>
      <c r="H102" s="42" t="s">
        <v>1117</v>
      </c>
      <c r="I102" s="43" t="s">
        <v>1746</v>
      </c>
      <c r="J102" s="45" t="s">
        <v>1747</v>
      </c>
      <c r="K102" s="42" t="s">
        <v>7</v>
      </c>
      <c r="L102" s="42" t="s">
        <v>1748</v>
      </c>
      <c r="M102" s="46" t="s">
        <v>4</v>
      </c>
      <c r="N102" s="46" t="s">
        <v>155</v>
      </c>
      <c r="O102" s="43" t="s">
        <v>1656</v>
      </c>
    </row>
    <row r="103" spans="1:15" ht="68.25" customHeight="1" x14ac:dyDescent="0.3">
      <c r="A103" s="42" t="s">
        <v>1749</v>
      </c>
      <c r="B103" s="43" t="s">
        <v>1750</v>
      </c>
      <c r="C103" s="42" t="s">
        <v>83</v>
      </c>
      <c r="D103" s="42" t="s">
        <v>147</v>
      </c>
      <c r="E103" s="42" t="s">
        <v>1577</v>
      </c>
      <c r="F103" s="43" t="s">
        <v>1683</v>
      </c>
      <c r="G103" s="44" t="s">
        <v>1740</v>
      </c>
      <c r="H103" s="42" t="s">
        <v>1117</v>
      </c>
      <c r="I103" s="43" t="s">
        <v>1751</v>
      </c>
      <c r="J103" s="45" t="s">
        <v>1752</v>
      </c>
      <c r="K103" s="42" t="s">
        <v>7</v>
      </c>
      <c r="L103" s="42" t="s">
        <v>1753</v>
      </c>
      <c r="M103" s="46" t="s">
        <v>4</v>
      </c>
      <c r="N103" s="46" t="s">
        <v>155</v>
      </c>
      <c r="O103" s="43" t="s">
        <v>1656</v>
      </c>
    </row>
    <row r="104" spans="1:15" ht="54.75" customHeight="1" x14ac:dyDescent="0.3">
      <c r="A104" s="42" t="s">
        <v>1754</v>
      </c>
      <c r="B104" s="43" t="s">
        <v>1755</v>
      </c>
      <c r="C104" s="42" t="s">
        <v>83</v>
      </c>
      <c r="D104" s="42" t="s">
        <v>147</v>
      </c>
      <c r="E104" s="42" t="s">
        <v>148</v>
      </c>
      <c r="F104" s="43" t="s">
        <v>1670</v>
      </c>
      <c r="G104" s="44" t="s">
        <v>1756</v>
      </c>
      <c r="H104" s="42" t="s">
        <v>1719</v>
      </c>
      <c r="I104" s="43" t="s">
        <v>1757</v>
      </c>
      <c r="J104" s="45" t="s">
        <v>1758</v>
      </c>
      <c r="K104" s="42" t="s">
        <v>7</v>
      </c>
      <c r="L104" s="42" t="s">
        <v>1759</v>
      </c>
      <c r="M104" s="46" t="s">
        <v>4</v>
      </c>
      <c r="N104" s="46" t="s">
        <v>155</v>
      </c>
      <c r="O104" s="43" t="s">
        <v>1175</v>
      </c>
    </row>
    <row r="105" spans="1:15" ht="81.75" customHeight="1" x14ac:dyDescent="0.3">
      <c r="A105" s="42" t="s">
        <v>1760</v>
      </c>
      <c r="B105" s="43" t="s">
        <v>1761</v>
      </c>
      <c r="C105" s="42" t="s">
        <v>83</v>
      </c>
      <c r="D105" s="42" t="s">
        <v>166</v>
      </c>
      <c r="E105" s="42" t="s">
        <v>1577</v>
      </c>
      <c r="F105" s="43" t="s">
        <v>1613</v>
      </c>
      <c r="G105" s="44" t="s">
        <v>1762</v>
      </c>
      <c r="H105" s="42" t="s">
        <v>1117</v>
      </c>
      <c r="I105" s="43" t="s">
        <v>1763</v>
      </c>
      <c r="J105" s="45" t="s">
        <v>1764</v>
      </c>
      <c r="K105" s="42" t="s">
        <v>7</v>
      </c>
      <c r="L105" s="42" t="s">
        <v>1765</v>
      </c>
      <c r="M105" s="46" t="s">
        <v>4</v>
      </c>
      <c r="N105" s="46" t="s">
        <v>155</v>
      </c>
      <c r="O105" s="43" t="s">
        <v>1656</v>
      </c>
    </row>
    <row r="106" spans="1:15" ht="54.75" customHeight="1" x14ac:dyDescent="0.3">
      <c r="A106" s="42" t="s">
        <v>1766</v>
      </c>
      <c r="B106" s="43" t="s">
        <v>1635</v>
      </c>
      <c r="C106" s="42" t="s">
        <v>83</v>
      </c>
      <c r="D106" s="42" t="s">
        <v>231</v>
      </c>
      <c r="E106" s="42" t="s">
        <v>203</v>
      </c>
      <c r="F106" s="43" t="s">
        <v>1169</v>
      </c>
      <c r="G106" s="44" t="s">
        <v>1767</v>
      </c>
      <c r="H106" s="42" t="s">
        <v>1117</v>
      </c>
      <c r="I106" s="43" t="s">
        <v>1478</v>
      </c>
      <c r="J106" s="45" t="s">
        <v>1479</v>
      </c>
      <c r="K106" s="42" t="s">
        <v>7</v>
      </c>
      <c r="L106" s="42" t="s">
        <v>1765</v>
      </c>
      <c r="M106" s="46" t="s">
        <v>4</v>
      </c>
      <c r="N106" s="46" t="s">
        <v>155</v>
      </c>
      <c r="O106" s="43" t="s">
        <v>1197</v>
      </c>
    </row>
    <row r="107" spans="1:15" ht="68.25" customHeight="1" x14ac:dyDescent="0.3">
      <c r="A107" s="42" t="s">
        <v>1768</v>
      </c>
      <c r="B107" s="43" t="s">
        <v>1769</v>
      </c>
      <c r="C107" s="42" t="s">
        <v>83</v>
      </c>
      <c r="D107" s="42" t="s">
        <v>147</v>
      </c>
      <c r="E107" s="42" t="s">
        <v>1341</v>
      </c>
      <c r="F107" s="43" t="s">
        <v>1770</v>
      </c>
      <c r="G107" s="44" t="s">
        <v>1771</v>
      </c>
      <c r="H107" s="42" t="s">
        <v>1772</v>
      </c>
      <c r="I107" s="43" t="s">
        <v>1773</v>
      </c>
      <c r="J107" s="45" t="s">
        <v>1774</v>
      </c>
      <c r="K107" s="42" t="s">
        <v>7</v>
      </c>
      <c r="L107" s="42" t="s">
        <v>1765</v>
      </c>
      <c r="M107" s="46" t="s">
        <v>4</v>
      </c>
      <c r="N107" s="46" t="s">
        <v>155</v>
      </c>
      <c r="O107" s="43" t="s">
        <v>1442</v>
      </c>
    </row>
    <row r="108" spans="1:15" ht="54.75" customHeight="1" x14ac:dyDescent="0.3">
      <c r="A108" s="42" t="s">
        <v>1775</v>
      </c>
      <c r="B108" s="43" t="s">
        <v>1776</v>
      </c>
      <c r="C108" s="42" t="s">
        <v>83</v>
      </c>
      <c r="D108" s="42" t="s">
        <v>231</v>
      </c>
      <c r="E108" s="42" t="s">
        <v>203</v>
      </c>
      <c r="F108" s="43" t="s">
        <v>1670</v>
      </c>
      <c r="G108" s="44" t="s">
        <v>1777</v>
      </c>
      <c r="H108" s="42" t="s">
        <v>1778</v>
      </c>
      <c r="I108" s="43" t="s">
        <v>1779</v>
      </c>
      <c r="J108" s="45" t="s">
        <v>1780</v>
      </c>
      <c r="K108" s="42" t="s">
        <v>7</v>
      </c>
      <c r="L108" s="42" t="s">
        <v>1765</v>
      </c>
      <c r="M108" s="43" t="s">
        <v>5</v>
      </c>
      <c r="N108" s="43" t="s">
        <v>192</v>
      </c>
      <c r="O108" s="43" t="s">
        <v>1274</v>
      </c>
    </row>
    <row r="109" spans="1:15" ht="54.75" customHeight="1" x14ac:dyDescent="0.3">
      <c r="A109" s="42" t="s">
        <v>1781</v>
      </c>
      <c r="B109" s="43" t="s">
        <v>1782</v>
      </c>
      <c r="C109" s="42" t="s">
        <v>83</v>
      </c>
      <c r="D109" s="42" t="s">
        <v>147</v>
      </c>
      <c r="E109" s="42" t="s">
        <v>1341</v>
      </c>
      <c r="F109" s="43" t="s">
        <v>1342</v>
      </c>
      <c r="G109" s="44" t="s">
        <v>1783</v>
      </c>
      <c r="H109" s="42" t="s">
        <v>1344</v>
      </c>
      <c r="I109" s="43" t="s">
        <v>1345</v>
      </c>
      <c r="J109" s="45" t="s">
        <v>1346</v>
      </c>
      <c r="K109" s="42" t="s">
        <v>7</v>
      </c>
      <c r="L109" s="42" t="s">
        <v>1765</v>
      </c>
      <c r="M109" s="46" t="s">
        <v>4</v>
      </c>
      <c r="N109" s="46" t="s">
        <v>155</v>
      </c>
      <c r="O109" s="43" t="s">
        <v>1347</v>
      </c>
    </row>
    <row r="110" spans="1:15" ht="108.75" customHeight="1" x14ac:dyDescent="0.3">
      <c r="A110" s="42" t="s">
        <v>1784</v>
      </c>
      <c r="B110" s="43" t="s">
        <v>1785</v>
      </c>
      <c r="C110" s="42" t="s">
        <v>85</v>
      </c>
      <c r="D110" s="42" t="s">
        <v>231</v>
      </c>
      <c r="E110" s="42" t="s">
        <v>148</v>
      </c>
      <c r="F110" s="43" t="s">
        <v>1169</v>
      </c>
      <c r="G110" s="44" t="s">
        <v>1786</v>
      </c>
      <c r="H110" s="42" t="s">
        <v>1117</v>
      </c>
      <c r="I110" s="43" t="s">
        <v>1787</v>
      </c>
      <c r="J110" s="45" t="s">
        <v>1788</v>
      </c>
      <c r="K110" s="42" t="s">
        <v>7</v>
      </c>
      <c r="L110" s="42" t="s">
        <v>1789</v>
      </c>
      <c r="M110" s="46" t="s">
        <v>4</v>
      </c>
      <c r="N110" s="46" t="s">
        <v>155</v>
      </c>
      <c r="O110" s="43" t="s">
        <v>1175</v>
      </c>
    </row>
    <row r="111" spans="1:15" ht="68.25" customHeight="1" x14ac:dyDescent="0.3">
      <c r="A111" s="42" t="s">
        <v>1790</v>
      </c>
      <c r="B111" s="43" t="s">
        <v>1791</v>
      </c>
      <c r="C111" s="42" t="s">
        <v>85</v>
      </c>
      <c r="D111" s="42" t="s">
        <v>231</v>
      </c>
      <c r="E111" s="42" t="s">
        <v>148</v>
      </c>
      <c r="F111" s="43" t="s">
        <v>1169</v>
      </c>
      <c r="G111" s="44" t="s">
        <v>1792</v>
      </c>
      <c r="H111" s="42" t="s">
        <v>1793</v>
      </c>
      <c r="I111" s="43" t="s">
        <v>1794</v>
      </c>
      <c r="J111" s="45" t="s">
        <v>1795</v>
      </c>
      <c r="K111" s="42" t="s">
        <v>7</v>
      </c>
      <c r="L111" s="42" t="s">
        <v>1796</v>
      </c>
      <c r="M111" s="46" t="s">
        <v>4</v>
      </c>
      <c r="N111" s="46" t="s">
        <v>155</v>
      </c>
      <c r="O111" s="43" t="s">
        <v>1175</v>
      </c>
    </row>
    <row r="112" spans="1:15" ht="68.25" customHeight="1" x14ac:dyDescent="0.3">
      <c r="A112" s="42" t="s">
        <v>1797</v>
      </c>
      <c r="B112" s="43" t="s">
        <v>1798</v>
      </c>
      <c r="C112" s="42" t="s">
        <v>85</v>
      </c>
      <c r="D112" s="42" t="s">
        <v>231</v>
      </c>
      <c r="E112" s="42" t="s">
        <v>148</v>
      </c>
      <c r="F112" s="43" t="s">
        <v>1169</v>
      </c>
      <c r="G112" s="44" t="s">
        <v>1799</v>
      </c>
      <c r="H112" s="42" t="s">
        <v>1800</v>
      </c>
      <c r="I112" s="43" t="s">
        <v>1801</v>
      </c>
      <c r="J112" s="45" t="s">
        <v>1802</v>
      </c>
      <c r="K112" s="42" t="s">
        <v>7</v>
      </c>
      <c r="L112" s="42" t="s">
        <v>1796</v>
      </c>
      <c r="M112" s="46" t="s">
        <v>4</v>
      </c>
      <c r="N112" s="46" t="s">
        <v>155</v>
      </c>
      <c r="O112" s="43" t="s">
        <v>1175</v>
      </c>
    </row>
    <row r="113" spans="1:15" ht="68.25" customHeight="1" x14ac:dyDescent="0.3">
      <c r="A113" s="42" t="s">
        <v>1803</v>
      </c>
      <c r="B113" s="43" t="s">
        <v>1804</v>
      </c>
      <c r="C113" s="42" t="s">
        <v>85</v>
      </c>
      <c r="D113" s="42" t="s">
        <v>231</v>
      </c>
      <c r="E113" s="42" t="s">
        <v>203</v>
      </c>
      <c r="F113" s="43" t="s">
        <v>1169</v>
      </c>
      <c r="G113" s="44" t="s">
        <v>1805</v>
      </c>
      <c r="H113" s="42" t="s">
        <v>1806</v>
      </c>
      <c r="I113" s="43" t="s">
        <v>1807</v>
      </c>
      <c r="J113" s="45" t="s">
        <v>1808</v>
      </c>
      <c r="K113" s="42" t="s">
        <v>7</v>
      </c>
      <c r="L113" s="42" t="s">
        <v>1809</v>
      </c>
      <c r="M113" s="46" t="s">
        <v>4</v>
      </c>
      <c r="N113" s="46" t="s">
        <v>155</v>
      </c>
      <c r="O113" s="43" t="s">
        <v>1197</v>
      </c>
    </row>
    <row r="114" spans="1:15" ht="68.25" customHeight="1" x14ac:dyDescent="0.3">
      <c r="A114" s="42" t="s">
        <v>1810</v>
      </c>
      <c r="B114" s="43" t="s">
        <v>1811</v>
      </c>
      <c r="C114" s="42" t="s">
        <v>85</v>
      </c>
      <c r="D114" s="42" t="s">
        <v>231</v>
      </c>
      <c r="E114" s="42" t="s">
        <v>203</v>
      </c>
      <c r="F114" s="43" t="s">
        <v>1169</v>
      </c>
      <c r="G114" s="44" t="s">
        <v>1812</v>
      </c>
      <c r="H114" s="42" t="s">
        <v>1813</v>
      </c>
      <c r="I114" s="43" t="s">
        <v>1814</v>
      </c>
      <c r="J114" s="45" t="s">
        <v>1815</v>
      </c>
      <c r="K114" s="42" t="s">
        <v>7</v>
      </c>
      <c r="L114" s="42" t="s">
        <v>1816</v>
      </c>
      <c r="M114" s="43" t="s">
        <v>5</v>
      </c>
      <c r="N114" s="43" t="s">
        <v>192</v>
      </c>
      <c r="O114" s="43" t="s">
        <v>1274</v>
      </c>
    </row>
    <row r="115" spans="1:15" ht="54.75" customHeight="1" x14ac:dyDescent="0.3">
      <c r="A115" s="42" t="s">
        <v>1817</v>
      </c>
      <c r="B115" s="43" t="s">
        <v>1818</v>
      </c>
      <c r="C115" s="42" t="s">
        <v>85</v>
      </c>
      <c r="D115" s="42" t="s">
        <v>166</v>
      </c>
      <c r="E115" s="42" t="s">
        <v>1341</v>
      </c>
      <c r="F115" s="43" t="s">
        <v>1342</v>
      </c>
      <c r="G115" s="44" t="s">
        <v>1819</v>
      </c>
      <c r="H115" s="42" t="s">
        <v>1344</v>
      </c>
      <c r="I115" s="43" t="s">
        <v>1345</v>
      </c>
      <c r="J115" s="45" t="s">
        <v>1346</v>
      </c>
      <c r="K115" s="42" t="s">
        <v>7</v>
      </c>
      <c r="L115" s="42" t="s">
        <v>1816</v>
      </c>
      <c r="M115" s="46" t="s">
        <v>4</v>
      </c>
      <c r="N115" s="46" t="s">
        <v>155</v>
      </c>
      <c r="O115" s="43" t="s">
        <v>1347</v>
      </c>
    </row>
    <row r="116" spans="1:15" ht="108.75" customHeight="1" x14ac:dyDescent="0.3">
      <c r="A116" s="42" t="s">
        <v>1820</v>
      </c>
      <c r="B116" s="43" t="s">
        <v>1821</v>
      </c>
      <c r="C116" s="42" t="s">
        <v>87</v>
      </c>
      <c r="D116" s="42" t="s">
        <v>1822</v>
      </c>
      <c r="E116" s="42" t="s">
        <v>148</v>
      </c>
      <c r="F116" s="43" t="s">
        <v>1613</v>
      </c>
      <c r="G116" s="44" t="s">
        <v>1823</v>
      </c>
      <c r="H116" s="42" t="s">
        <v>1824</v>
      </c>
      <c r="I116" s="43" t="s">
        <v>1825</v>
      </c>
      <c r="J116" s="45" t="s">
        <v>1826</v>
      </c>
      <c r="K116" s="42" t="s">
        <v>7</v>
      </c>
      <c r="L116" s="42" t="s">
        <v>1827</v>
      </c>
      <c r="M116" s="46" t="s">
        <v>4</v>
      </c>
      <c r="N116" s="46" t="s">
        <v>155</v>
      </c>
      <c r="O116" s="43" t="s">
        <v>1175</v>
      </c>
    </row>
    <row r="117" spans="1:15" ht="81.75" customHeight="1" x14ac:dyDescent="0.3">
      <c r="A117" s="42" t="s">
        <v>1828</v>
      </c>
      <c r="B117" s="43" t="s">
        <v>1829</v>
      </c>
      <c r="C117" s="42" t="s">
        <v>87</v>
      </c>
      <c r="D117" s="42" t="s">
        <v>1822</v>
      </c>
      <c r="E117" s="42" t="s">
        <v>148</v>
      </c>
      <c r="F117" s="43" t="s">
        <v>1613</v>
      </c>
      <c r="G117" s="44" t="s">
        <v>1830</v>
      </c>
      <c r="H117" s="42" t="s">
        <v>1824</v>
      </c>
      <c r="I117" s="43" t="s">
        <v>1831</v>
      </c>
      <c r="J117" s="45" t="s">
        <v>1832</v>
      </c>
      <c r="K117" s="42" t="s">
        <v>7</v>
      </c>
      <c r="L117" s="42" t="s">
        <v>1833</v>
      </c>
      <c r="M117" s="46" t="s">
        <v>4</v>
      </c>
      <c r="N117" s="46" t="s">
        <v>155</v>
      </c>
      <c r="O117" s="43" t="s">
        <v>1175</v>
      </c>
    </row>
    <row r="118" spans="1:15" ht="81.75" customHeight="1" x14ac:dyDescent="0.3">
      <c r="A118" s="42" t="s">
        <v>1834</v>
      </c>
      <c r="B118" s="43" t="s">
        <v>1835</v>
      </c>
      <c r="C118" s="42" t="s">
        <v>87</v>
      </c>
      <c r="D118" s="42" t="s">
        <v>147</v>
      </c>
      <c r="E118" s="42" t="s">
        <v>148</v>
      </c>
      <c r="F118" s="43" t="s">
        <v>1836</v>
      </c>
      <c r="G118" s="44" t="s">
        <v>1837</v>
      </c>
      <c r="H118" s="42" t="s">
        <v>1824</v>
      </c>
      <c r="I118" s="43" t="s">
        <v>1838</v>
      </c>
      <c r="J118" s="45" t="s">
        <v>1839</v>
      </c>
      <c r="K118" s="42" t="s">
        <v>7</v>
      </c>
      <c r="L118" s="42" t="s">
        <v>1840</v>
      </c>
      <c r="M118" s="46" t="s">
        <v>4</v>
      </c>
      <c r="N118" s="46" t="s">
        <v>155</v>
      </c>
      <c r="O118" s="43" t="s">
        <v>1175</v>
      </c>
    </row>
    <row r="119" spans="1:15" ht="81.75" customHeight="1" x14ac:dyDescent="0.3">
      <c r="A119" s="42" t="s">
        <v>1841</v>
      </c>
      <c r="B119" s="43" t="s">
        <v>1842</v>
      </c>
      <c r="C119" s="42" t="s">
        <v>87</v>
      </c>
      <c r="D119" s="42" t="s">
        <v>1822</v>
      </c>
      <c r="E119" s="42" t="s">
        <v>148</v>
      </c>
      <c r="F119" s="43" t="s">
        <v>1613</v>
      </c>
      <c r="G119" s="44" t="s">
        <v>1843</v>
      </c>
      <c r="H119" s="42" t="s">
        <v>1824</v>
      </c>
      <c r="I119" s="43" t="s">
        <v>1844</v>
      </c>
      <c r="J119" s="45" t="s">
        <v>1845</v>
      </c>
      <c r="K119" s="42" t="s">
        <v>7</v>
      </c>
      <c r="L119" s="42" t="s">
        <v>1846</v>
      </c>
      <c r="M119" s="46" t="s">
        <v>4</v>
      </c>
      <c r="N119" s="46" t="s">
        <v>155</v>
      </c>
      <c r="O119" s="43" t="s">
        <v>1847</v>
      </c>
    </row>
    <row r="120" spans="1:15" ht="68.25" customHeight="1" x14ac:dyDescent="0.3">
      <c r="A120" s="42" t="s">
        <v>1848</v>
      </c>
      <c r="B120" s="43" t="s">
        <v>1849</v>
      </c>
      <c r="C120" s="42" t="s">
        <v>87</v>
      </c>
      <c r="D120" s="42" t="s">
        <v>147</v>
      </c>
      <c r="E120" s="42" t="s">
        <v>203</v>
      </c>
      <c r="F120" s="43" t="s">
        <v>1613</v>
      </c>
      <c r="G120" s="44" t="s">
        <v>1850</v>
      </c>
      <c r="H120" s="42" t="s">
        <v>1851</v>
      </c>
      <c r="I120" s="43" t="s">
        <v>1852</v>
      </c>
      <c r="J120" s="45" t="s">
        <v>1853</v>
      </c>
      <c r="K120" s="42" t="s">
        <v>7</v>
      </c>
      <c r="L120" s="42" t="s">
        <v>1854</v>
      </c>
      <c r="M120" s="46" t="s">
        <v>4</v>
      </c>
      <c r="N120" s="46" t="s">
        <v>155</v>
      </c>
      <c r="O120" s="43" t="s">
        <v>1175</v>
      </c>
    </row>
    <row r="121" spans="1:15" ht="68.25" customHeight="1" x14ac:dyDescent="0.3">
      <c r="A121" s="42" t="s">
        <v>1855</v>
      </c>
      <c r="B121" s="43" t="s">
        <v>1856</v>
      </c>
      <c r="C121" s="42" t="s">
        <v>87</v>
      </c>
      <c r="D121" s="42" t="s">
        <v>147</v>
      </c>
      <c r="E121" s="42" t="s">
        <v>203</v>
      </c>
      <c r="F121" s="43" t="s">
        <v>1613</v>
      </c>
      <c r="G121" s="44" t="s">
        <v>1857</v>
      </c>
      <c r="H121" s="42" t="s">
        <v>1824</v>
      </c>
      <c r="I121" s="43" t="s">
        <v>1858</v>
      </c>
      <c r="J121" s="45" t="s">
        <v>1859</v>
      </c>
      <c r="K121" s="42" t="s">
        <v>7</v>
      </c>
      <c r="L121" s="42" t="s">
        <v>1860</v>
      </c>
      <c r="M121" s="46" t="s">
        <v>4</v>
      </c>
      <c r="N121" s="46" t="s">
        <v>155</v>
      </c>
      <c r="O121" s="43" t="s">
        <v>1197</v>
      </c>
    </row>
    <row r="122" spans="1:15" ht="68.25" customHeight="1" x14ac:dyDescent="0.3">
      <c r="A122" s="42" t="s">
        <v>1861</v>
      </c>
      <c r="B122" s="43" t="s">
        <v>1862</v>
      </c>
      <c r="C122" s="42" t="s">
        <v>87</v>
      </c>
      <c r="D122" s="42" t="s">
        <v>166</v>
      </c>
      <c r="E122" s="42" t="s">
        <v>273</v>
      </c>
      <c r="F122" s="43" t="s">
        <v>1613</v>
      </c>
      <c r="G122" s="44" t="s">
        <v>1823</v>
      </c>
      <c r="H122" s="42" t="s">
        <v>1863</v>
      </c>
      <c r="I122" s="43" t="s">
        <v>1864</v>
      </c>
      <c r="J122" s="45" t="s">
        <v>1865</v>
      </c>
      <c r="K122" s="42" t="s">
        <v>7</v>
      </c>
      <c r="L122" s="42" t="s">
        <v>1866</v>
      </c>
      <c r="M122" s="46" t="s">
        <v>4</v>
      </c>
      <c r="N122" s="46" t="s">
        <v>155</v>
      </c>
      <c r="O122" s="43" t="s">
        <v>1205</v>
      </c>
    </row>
    <row r="123" spans="1:15" ht="54.75" customHeight="1" x14ac:dyDescent="0.3">
      <c r="A123" s="42" t="s">
        <v>1867</v>
      </c>
      <c r="B123" s="43" t="s">
        <v>1868</v>
      </c>
      <c r="C123" s="42" t="s">
        <v>87</v>
      </c>
      <c r="D123" s="42" t="s">
        <v>166</v>
      </c>
      <c r="E123" s="42" t="s">
        <v>273</v>
      </c>
      <c r="F123" s="43" t="s">
        <v>1613</v>
      </c>
      <c r="G123" s="44" t="s">
        <v>1823</v>
      </c>
      <c r="H123" s="42" t="s">
        <v>1869</v>
      </c>
      <c r="I123" s="43" t="s">
        <v>1870</v>
      </c>
      <c r="J123" s="45" t="s">
        <v>1871</v>
      </c>
      <c r="K123" s="42" t="s">
        <v>7</v>
      </c>
      <c r="L123" s="42" t="s">
        <v>1866</v>
      </c>
      <c r="M123" s="46" t="s">
        <v>4</v>
      </c>
      <c r="N123" s="46" t="s">
        <v>155</v>
      </c>
      <c r="O123" s="43" t="s">
        <v>1205</v>
      </c>
    </row>
    <row r="124" spans="1:15" ht="54.75" customHeight="1" x14ac:dyDescent="0.3">
      <c r="A124" s="42" t="s">
        <v>1872</v>
      </c>
      <c r="B124" s="43" t="s">
        <v>1873</v>
      </c>
      <c r="C124" s="42" t="s">
        <v>87</v>
      </c>
      <c r="D124" s="42" t="s">
        <v>166</v>
      </c>
      <c r="E124" s="42" t="s">
        <v>273</v>
      </c>
      <c r="F124" s="43" t="s">
        <v>1613</v>
      </c>
      <c r="G124" s="44" t="s">
        <v>1823</v>
      </c>
      <c r="H124" s="42" t="s">
        <v>1874</v>
      </c>
      <c r="I124" s="43" t="s">
        <v>1870</v>
      </c>
      <c r="J124" s="45" t="s">
        <v>1871</v>
      </c>
      <c r="K124" s="42" t="s">
        <v>7</v>
      </c>
      <c r="L124" s="42" t="s">
        <v>1866</v>
      </c>
      <c r="M124" s="46" t="s">
        <v>4</v>
      </c>
      <c r="N124" s="46" t="s">
        <v>155</v>
      </c>
      <c r="O124" s="43" t="s">
        <v>1205</v>
      </c>
    </row>
    <row r="125" spans="1:15" ht="68.25" customHeight="1" x14ac:dyDescent="0.3">
      <c r="A125" s="42" t="s">
        <v>1875</v>
      </c>
      <c r="B125" s="43" t="s">
        <v>1876</v>
      </c>
      <c r="C125" s="42" t="s">
        <v>87</v>
      </c>
      <c r="D125" s="42" t="s">
        <v>166</v>
      </c>
      <c r="E125" s="42" t="s">
        <v>273</v>
      </c>
      <c r="F125" s="43" t="s">
        <v>1613</v>
      </c>
      <c r="G125" s="44" t="s">
        <v>1823</v>
      </c>
      <c r="H125" s="42" t="s">
        <v>1877</v>
      </c>
      <c r="I125" s="43" t="s">
        <v>1864</v>
      </c>
      <c r="J125" s="45" t="s">
        <v>1865</v>
      </c>
      <c r="K125" s="42" t="s">
        <v>7</v>
      </c>
      <c r="L125" s="42" t="s">
        <v>1866</v>
      </c>
      <c r="M125" s="46" t="s">
        <v>4</v>
      </c>
      <c r="N125" s="46" t="s">
        <v>155</v>
      </c>
      <c r="O125" s="43" t="s">
        <v>1205</v>
      </c>
    </row>
    <row r="126" spans="1:15" ht="81.75" customHeight="1" x14ac:dyDescent="0.3">
      <c r="A126" s="42" t="s">
        <v>1878</v>
      </c>
      <c r="B126" s="43" t="s">
        <v>1879</v>
      </c>
      <c r="C126" s="42" t="s">
        <v>87</v>
      </c>
      <c r="D126" s="42" t="s">
        <v>147</v>
      </c>
      <c r="E126" s="42" t="s">
        <v>203</v>
      </c>
      <c r="F126" s="43" t="s">
        <v>1613</v>
      </c>
      <c r="G126" s="44" t="s">
        <v>1823</v>
      </c>
      <c r="H126" s="42" t="s">
        <v>1880</v>
      </c>
      <c r="I126" s="43" t="s">
        <v>1881</v>
      </c>
      <c r="J126" s="45" t="s">
        <v>1882</v>
      </c>
      <c r="K126" s="42" t="s">
        <v>7</v>
      </c>
      <c r="L126" s="42" t="s">
        <v>1883</v>
      </c>
      <c r="M126" s="46" t="s">
        <v>4</v>
      </c>
      <c r="N126" s="46" t="s">
        <v>155</v>
      </c>
      <c r="O126" s="43" t="s">
        <v>1175</v>
      </c>
    </row>
    <row r="127" spans="1:15" ht="54.75" customHeight="1" x14ac:dyDescent="0.3">
      <c r="A127" s="42" t="s">
        <v>1884</v>
      </c>
      <c r="B127" s="43" t="s">
        <v>1885</v>
      </c>
      <c r="C127" s="42" t="s">
        <v>87</v>
      </c>
      <c r="D127" s="42" t="s">
        <v>166</v>
      </c>
      <c r="E127" s="42" t="s">
        <v>203</v>
      </c>
      <c r="F127" s="43" t="s">
        <v>1613</v>
      </c>
      <c r="G127" s="44" t="s">
        <v>1823</v>
      </c>
      <c r="H127" s="42" t="s">
        <v>1886</v>
      </c>
      <c r="I127" s="43" t="s">
        <v>1887</v>
      </c>
      <c r="J127" s="45" t="s">
        <v>1888</v>
      </c>
      <c r="K127" s="42" t="s">
        <v>7</v>
      </c>
      <c r="L127" s="42" t="s">
        <v>1883</v>
      </c>
      <c r="M127" s="46" t="s">
        <v>4</v>
      </c>
      <c r="N127" s="46" t="s">
        <v>155</v>
      </c>
      <c r="O127" s="43" t="s">
        <v>1197</v>
      </c>
    </row>
    <row r="128" spans="1:15" ht="68.25" customHeight="1" x14ac:dyDescent="0.3">
      <c r="A128" s="42" t="s">
        <v>1889</v>
      </c>
      <c r="B128" s="43" t="s">
        <v>1890</v>
      </c>
      <c r="C128" s="42" t="s">
        <v>87</v>
      </c>
      <c r="D128" s="42" t="s">
        <v>147</v>
      </c>
      <c r="E128" s="42" t="s">
        <v>273</v>
      </c>
      <c r="F128" s="43" t="s">
        <v>1613</v>
      </c>
      <c r="G128" s="44" t="s">
        <v>1823</v>
      </c>
      <c r="H128" s="42" t="s">
        <v>1891</v>
      </c>
      <c r="I128" s="43" t="s">
        <v>1892</v>
      </c>
      <c r="J128" s="45" t="s">
        <v>1893</v>
      </c>
      <c r="K128" s="42" t="s">
        <v>7</v>
      </c>
      <c r="L128" s="42" t="s">
        <v>1894</v>
      </c>
      <c r="M128" s="46" t="s">
        <v>4</v>
      </c>
      <c r="N128" s="46" t="s">
        <v>155</v>
      </c>
      <c r="O128" s="43" t="s">
        <v>1205</v>
      </c>
    </row>
    <row r="129" spans="1:15" ht="54.75" customHeight="1" x14ac:dyDescent="0.3">
      <c r="A129" s="42" t="s">
        <v>1895</v>
      </c>
      <c r="B129" s="43" t="s">
        <v>1896</v>
      </c>
      <c r="C129" s="42" t="s">
        <v>87</v>
      </c>
      <c r="D129" s="42" t="s">
        <v>147</v>
      </c>
      <c r="E129" s="42" t="s">
        <v>273</v>
      </c>
      <c r="F129" s="43" t="s">
        <v>1613</v>
      </c>
      <c r="G129" s="44" t="s">
        <v>1823</v>
      </c>
      <c r="H129" s="42" t="s">
        <v>1897</v>
      </c>
      <c r="I129" s="43" t="s">
        <v>1870</v>
      </c>
      <c r="J129" s="45" t="s">
        <v>1871</v>
      </c>
      <c r="K129" s="42" t="s">
        <v>7</v>
      </c>
      <c r="L129" s="42" t="s">
        <v>1894</v>
      </c>
      <c r="M129" s="46" t="s">
        <v>4</v>
      </c>
      <c r="N129" s="46" t="s">
        <v>155</v>
      </c>
      <c r="O129" s="43" t="s">
        <v>1205</v>
      </c>
    </row>
    <row r="130" spans="1:15" ht="54.75" customHeight="1" x14ac:dyDescent="0.3">
      <c r="A130" s="42" t="s">
        <v>1898</v>
      </c>
      <c r="B130" s="43" t="s">
        <v>1899</v>
      </c>
      <c r="C130" s="42" t="s">
        <v>87</v>
      </c>
      <c r="D130" s="42" t="s">
        <v>147</v>
      </c>
      <c r="E130" s="42" t="s">
        <v>273</v>
      </c>
      <c r="F130" s="43" t="s">
        <v>1613</v>
      </c>
      <c r="G130" s="44" t="s">
        <v>1823</v>
      </c>
      <c r="H130" s="42" t="s">
        <v>1900</v>
      </c>
      <c r="I130" s="43" t="s">
        <v>1870</v>
      </c>
      <c r="J130" s="45" t="s">
        <v>1871</v>
      </c>
      <c r="K130" s="42" t="s">
        <v>7</v>
      </c>
      <c r="L130" s="42" t="s">
        <v>1894</v>
      </c>
      <c r="M130" s="46" t="s">
        <v>4</v>
      </c>
      <c r="N130" s="46" t="s">
        <v>155</v>
      </c>
      <c r="O130" s="43" t="s">
        <v>1205</v>
      </c>
    </row>
    <row r="131" spans="1:15" ht="68.25" customHeight="1" x14ac:dyDescent="0.3">
      <c r="A131" s="42" t="s">
        <v>1901</v>
      </c>
      <c r="B131" s="43" t="s">
        <v>1902</v>
      </c>
      <c r="C131" s="42" t="s">
        <v>87</v>
      </c>
      <c r="D131" s="42" t="s">
        <v>147</v>
      </c>
      <c r="E131" s="42" t="s">
        <v>273</v>
      </c>
      <c r="F131" s="43" t="s">
        <v>1613</v>
      </c>
      <c r="G131" s="44" t="s">
        <v>1823</v>
      </c>
      <c r="H131" s="42" t="s">
        <v>1903</v>
      </c>
      <c r="I131" s="43" t="s">
        <v>1892</v>
      </c>
      <c r="J131" s="45" t="s">
        <v>1893</v>
      </c>
      <c r="K131" s="42" t="s">
        <v>7</v>
      </c>
      <c r="L131" s="42" t="s">
        <v>1894</v>
      </c>
      <c r="M131" s="46" t="s">
        <v>4</v>
      </c>
      <c r="N131" s="46" t="s">
        <v>155</v>
      </c>
      <c r="O131" s="43" t="s">
        <v>1205</v>
      </c>
    </row>
    <row r="132" spans="1:15" ht="68.25" customHeight="1" x14ac:dyDescent="0.3">
      <c r="A132" s="42" t="s">
        <v>1904</v>
      </c>
      <c r="B132" s="43" t="s">
        <v>1905</v>
      </c>
      <c r="C132" s="42" t="s">
        <v>87</v>
      </c>
      <c r="D132" s="42" t="s">
        <v>147</v>
      </c>
      <c r="E132" s="42" t="s">
        <v>273</v>
      </c>
      <c r="F132" s="43" t="s">
        <v>1613</v>
      </c>
      <c r="G132" s="44" t="s">
        <v>1906</v>
      </c>
      <c r="H132" s="42" t="s">
        <v>1907</v>
      </c>
      <c r="I132" s="43" t="s">
        <v>1908</v>
      </c>
      <c r="J132" s="45" t="s">
        <v>1909</v>
      </c>
      <c r="K132" s="42" t="s">
        <v>7</v>
      </c>
      <c r="L132" s="42" t="s">
        <v>1910</v>
      </c>
      <c r="M132" s="46" t="s">
        <v>4</v>
      </c>
      <c r="N132" s="46" t="s">
        <v>155</v>
      </c>
      <c r="O132" s="43" t="s">
        <v>1205</v>
      </c>
    </row>
    <row r="133" spans="1:15" ht="54.75" customHeight="1" x14ac:dyDescent="0.3">
      <c r="A133" s="42" t="s">
        <v>1911</v>
      </c>
      <c r="B133" s="43" t="s">
        <v>1912</v>
      </c>
      <c r="C133" s="42" t="s">
        <v>87</v>
      </c>
      <c r="D133" s="42" t="s">
        <v>166</v>
      </c>
      <c r="E133" s="42" t="s">
        <v>148</v>
      </c>
      <c r="F133" s="43" t="s">
        <v>1613</v>
      </c>
      <c r="G133" s="44" t="s">
        <v>1913</v>
      </c>
      <c r="H133" s="42" t="s">
        <v>1914</v>
      </c>
      <c r="I133" s="43" t="s">
        <v>1915</v>
      </c>
      <c r="J133" s="45" t="s">
        <v>1916</v>
      </c>
      <c r="K133" s="42" t="s">
        <v>7</v>
      </c>
      <c r="L133" s="42" t="s">
        <v>1917</v>
      </c>
      <c r="M133" s="46" t="s">
        <v>4</v>
      </c>
      <c r="N133" s="46" t="s">
        <v>155</v>
      </c>
      <c r="O133" s="43" t="s">
        <v>1175</v>
      </c>
    </row>
    <row r="134" spans="1:15" ht="68.25" customHeight="1" x14ac:dyDescent="0.3">
      <c r="A134" s="42" t="s">
        <v>1918</v>
      </c>
      <c r="B134" s="43" t="s">
        <v>1919</v>
      </c>
      <c r="C134" s="42" t="s">
        <v>87</v>
      </c>
      <c r="D134" s="42" t="s">
        <v>147</v>
      </c>
      <c r="E134" s="42" t="s">
        <v>273</v>
      </c>
      <c r="F134" s="43" t="s">
        <v>1920</v>
      </c>
      <c r="G134" s="44" t="s">
        <v>1921</v>
      </c>
      <c r="H134" s="42" t="s">
        <v>1922</v>
      </c>
      <c r="I134" s="43" t="s">
        <v>1923</v>
      </c>
      <c r="J134" s="45" t="s">
        <v>1924</v>
      </c>
      <c r="K134" s="42" t="s">
        <v>7</v>
      </c>
      <c r="L134" s="42" t="s">
        <v>1925</v>
      </c>
      <c r="M134" s="43" t="s">
        <v>5</v>
      </c>
      <c r="N134" s="43" t="s">
        <v>192</v>
      </c>
      <c r="O134" s="43" t="s">
        <v>1926</v>
      </c>
    </row>
    <row r="135" spans="1:15" ht="68.25" customHeight="1" x14ac:dyDescent="0.3">
      <c r="A135" s="42" t="s">
        <v>1927</v>
      </c>
      <c r="B135" s="43" t="s">
        <v>1928</v>
      </c>
      <c r="C135" s="42" t="s">
        <v>87</v>
      </c>
      <c r="D135" s="42" t="s">
        <v>147</v>
      </c>
      <c r="E135" s="42" t="s">
        <v>273</v>
      </c>
      <c r="F135" s="43" t="s">
        <v>1920</v>
      </c>
      <c r="G135" s="44" t="s">
        <v>1929</v>
      </c>
      <c r="H135" s="42" t="s">
        <v>1930</v>
      </c>
      <c r="I135" s="43" t="s">
        <v>1870</v>
      </c>
      <c r="J135" s="45" t="s">
        <v>1931</v>
      </c>
      <c r="K135" s="42" t="s">
        <v>7</v>
      </c>
      <c r="L135" s="42" t="s">
        <v>1925</v>
      </c>
      <c r="M135" s="43" t="s">
        <v>5</v>
      </c>
      <c r="N135" s="43" t="s">
        <v>192</v>
      </c>
      <c r="O135" s="43" t="s">
        <v>1926</v>
      </c>
    </row>
    <row r="136" spans="1:15" ht="68.25" customHeight="1" x14ac:dyDescent="0.3">
      <c r="A136" s="42" t="s">
        <v>1932</v>
      </c>
      <c r="B136" s="43" t="s">
        <v>1933</v>
      </c>
      <c r="C136" s="42" t="s">
        <v>87</v>
      </c>
      <c r="D136" s="42" t="s">
        <v>147</v>
      </c>
      <c r="E136" s="42" t="s">
        <v>273</v>
      </c>
      <c r="F136" s="43" t="s">
        <v>1613</v>
      </c>
      <c r="G136" s="44" t="s">
        <v>1934</v>
      </c>
      <c r="H136" s="42" t="s">
        <v>1935</v>
      </c>
      <c r="I136" s="43" t="s">
        <v>1936</v>
      </c>
      <c r="J136" s="45" t="s">
        <v>1937</v>
      </c>
      <c r="K136" s="42" t="s">
        <v>7</v>
      </c>
      <c r="L136" s="42" t="s">
        <v>1938</v>
      </c>
      <c r="M136" s="46" t="s">
        <v>4</v>
      </c>
      <c r="N136" s="46" t="s">
        <v>155</v>
      </c>
      <c r="O136" s="43" t="s">
        <v>1205</v>
      </c>
    </row>
    <row r="137" spans="1:15" ht="54.75" customHeight="1" x14ac:dyDescent="0.3">
      <c r="A137" s="42" t="s">
        <v>1939</v>
      </c>
      <c r="B137" s="43" t="s">
        <v>1940</v>
      </c>
      <c r="C137" s="42" t="s">
        <v>87</v>
      </c>
      <c r="D137" s="42" t="s">
        <v>147</v>
      </c>
      <c r="E137" s="42" t="s">
        <v>273</v>
      </c>
      <c r="F137" s="43" t="s">
        <v>1941</v>
      </c>
      <c r="G137" s="44" t="s">
        <v>1942</v>
      </c>
      <c r="H137" s="42" t="s">
        <v>1943</v>
      </c>
      <c r="I137" s="43" t="s">
        <v>1560</v>
      </c>
      <c r="J137" s="45" t="s">
        <v>1561</v>
      </c>
      <c r="K137" s="42" t="s">
        <v>7</v>
      </c>
      <c r="L137" s="42" t="s">
        <v>1944</v>
      </c>
      <c r="M137" s="46" t="s">
        <v>4</v>
      </c>
      <c r="N137" s="46" t="s">
        <v>155</v>
      </c>
      <c r="O137" s="43" t="s">
        <v>1205</v>
      </c>
    </row>
    <row r="138" spans="1:15" ht="54.75" customHeight="1" x14ac:dyDescent="0.3">
      <c r="A138" s="42" t="s">
        <v>1945</v>
      </c>
      <c r="B138" s="43" t="s">
        <v>1946</v>
      </c>
      <c r="C138" s="42" t="s">
        <v>87</v>
      </c>
      <c r="D138" s="42" t="s">
        <v>147</v>
      </c>
      <c r="E138" s="42" t="s">
        <v>273</v>
      </c>
      <c r="F138" s="43" t="s">
        <v>1947</v>
      </c>
      <c r="G138" s="44" t="s">
        <v>1948</v>
      </c>
      <c r="H138" s="42" t="s">
        <v>1949</v>
      </c>
      <c r="I138" s="43" t="s">
        <v>1950</v>
      </c>
      <c r="J138" s="45" t="s">
        <v>1951</v>
      </c>
      <c r="K138" s="42" t="s">
        <v>7</v>
      </c>
      <c r="L138" s="42" t="s">
        <v>1944</v>
      </c>
      <c r="M138" s="46" t="s">
        <v>4</v>
      </c>
      <c r="N138" s="46" t="s">
        <v>155</v>
      </c>
      <c r="O138" s="43" t="s">
        <v>1205</v>
      </c>
    </row>
    <row r="139" spans="1:15" ht="54.75" customHeight="1" x14ac:dyDescent="0.3">
      <c r="A139" s="42" t="s">
        <v>1952</v>
      </c>
      <c r="B139" s="43" t="s">
        <v>1717</v>
      </c>
      <c r="C139" s="42" t="s">
        <v>87</v>
      </c>
      <c r="D139" s="42" t="s">
        <v>147</v>
      </c>
      <c r="E139" s="42" t="s">
        <v>203</v>
      </c>
      <c r="F139" s="43" t="s">
        <v>1670</v>
      </c>
      <c r="G139" s="44" t="s">
        <v>1823</v>
      </c>
      <c r="H139" s="42" t="s">
        <v>1824</v>
      </c>
      <c r="I139" s="43" t="s">
        <v>1720</v>
      </c>
      <c r="J139" s="45" t="s">
        <v>1721</v>
      </c>
      <c r="K139" s="42" t="s">
        <v>7</v>
      </c>
      <c r="L139" s="42" t="s">
        <v>1953</v>
      </c>
      <c r="M139" s="46" t="s">
        <v>4</v>
      </c>
      <c r="N139" s="46" t="s">
        <v>155</v>
      </c>
      <c r="O139" s="43" t="s">
        <v>1175</v>
      </c>
    </row>
    <row r="140" spans="1:15" ht="68.25" customHeight="1" x14ac:dyDescent="0.3">
      <c r="A140" s="42" t="s">
        <v>1954</v>
      </c>
      <c r="B140" s="43" t="s">
        <v>1955</v>
      </c>
      <c r="C140" s="42" t="s">
        <v>87</v>
      </c>
      <c r="D140" s="42" t="s">
        <v>147</v>
      </c>
      <c r="E140" s="42" t="s">
        <v>203</v>
      </c>
      <c r="F140" s="43" t="s">
        <v>1956</v>
      </c>
      <c r="G140" s="44" t="s">
        <v>1823</v>
      </c>
      <c r="H140" s="42" t="s">
        <v>1824</v>
      </c>
      <c r="I140" s="43" t="s">
        <v>1957</v>
      </c>
      <c r="J140" s="45" t="s">
        <v>1958</v>
      </c>
      <c r="K140" s="42" t="s">
        <v>7</v>
      </c>
      <c r="L140" s="42" t="s">
        <v>1953</v>
      </c>
      <c r="M140" s="46" t="s">
        <v>4</v>
      </c>
      <c r="N140" s="46" t="s">
        <v>155</v>
      </c>
      <c r="O140" s="43" t="s">
        <v>1175</v>
      </c>
    </row>
    <row r="141" spans="1:15" ht="68.25" customHeight="1" x14ac:dyDescent="0.3">
      <c r="A141" s="42" t="s">
        <v>1959</v>
      </c>
      <c r="B141" s="43" t="s">
        <v>1960</v>
      </c>
      <c r="C141" s="42" t="s">
        <v>87</v>
      </c>
      <c r="D141" s="42" t="s">
        <v>166</v>
      </c>
      <c r="E141" s="42" t="s">
        <v>203</v>
      </c>
      <c r="F141" s="43" t="s">
        <v>1613</v>
      </c>
      <c r="G141" s="44" t="s">
        <v>1823</v>
      </c>
      <c r="H141" s="42" t="s">
        <v>1961</v>
      </c>
      <c r="I141" s="43" t="s">
        <v>1962</v>
      </c>
      <c r="J141" s="45" t="s">
        <v>1963</v>
      </c>
      <c r="K141" s="42" t="s">
        <v>7</v>
      </c>
      <c r="L141" s="42" t="s">
        <v>1964</v>
      </c>
      <c r="M141" s="46" t="s">
        <v>4</v>
      </c>
      <c r="N141" s="46" t="s">
        <v>155</v>
      </c>
      <c r="O141" s="43" t="s">
        <v>1197</v>
      </c>
    </row>
    <row r="142" spans="1:15" ht="68.25" customHeight="1" x14ac:dyDescent="0.3">
      <c r="A142" s="42" t="s">
        <v>1965</v>
      </c>
      <c r="B142" s="43" t="s">
        <v>1966</v>
      </c>
      <c r="C142" s="42" t="s">
        <v>87</v>
      </c>
      <c r="D142" s="42" t="s">
        <v>166</v>
      </c>
      <c r="E142" s="42" t="s">
        <v>203</v>
      </c>
      <c r="F142" s="43" t="s">
        <v>1613</v>
      </c>
      <c r="G142" s="44" t="s">
        <v>1967</v>
      </c>
      <c r="H142" s="42" t="s">
        <v>1968</v>
      </c>
      <c r="I142" s="43" t="s">
        <v>1969</v>
      </c>
      <c r="J142" s="45" t="s">
        <v>1970</v>
      </c>
      <c r="K142" s="42" t="s">
        <v>7</v>
      </c>
      <c r="L142" s="42" t="s">
        <v>1866</v>
      </c>
      <c r="M142" s="46" t="s">
        <v>4</v>
      </c>
      <c r="N142" s="46" t="s">
        <v>155</v>
      </c>
      <c r="O142" s="43" t="s">
        <v>1197</v>
      </c>
    </row>
    <row r="143" spans="1:15" ht="54.75" customHeight="1" x14ac:dyDescent="0.3">
      <c r="A143" s="42" t="s">
        <v>1971</v>
      </c>
      <c r="B143" s="43" t="s">
        <v>1972</v>
      </c>
      <c r="C143" s="42" t="s">
        <v>87</v>
      </c>
      <c r="D143" s="42" t="s">
        <v>166</v>
      </c>
      <c r="E143" s="42" t="s">
        <v>203</v>
      </c>
      <c r="F143" s="43" t="s">
        <v>1613</v>
      </c>
      <c r="G143" s="44" t="s">
        <v>1823</v>
      </c>
      <c r="H143" s="42" t="s">
        <v>1973</v>
      </c>
      <c r="I143" s="43" t="s">
        <v>1974</v>
      </c>
      <c r="J143" s="45" t="s">
        <v>1975</v>
      </c>
      <c r="K143" s="42" t="s">
        <v>7</v>
      </c>
      <c r="L143" s="42" t="s">
        <v>1866</v>
      </c>
      <c r="M143" s="46" t="s">
        <v>4</v>
      </c>
      <c r="N143" s="46" t="s">
        <v>155</v>
      </c>
      <c r="O143" s="43" t="s">
        <v>1197</v>
      </c>
    </row>
    <row r="144" spans="1:15" ht="81.75" customHeight="1" x14ac:dyDescent="0.3">
      <c r="A144" s="42" t="s">
        <v>1976</v>
      </c>
      <c r="B144" s="43" t="s">
        <v>1977</v>
      </c>
      <c r="C144" s="42" t="s">
        <v>87</v>
      </c>
      <c r="D144" s="42" t="s">
        <v>147</v>
      </c>
      <c r="E144" s="42" t="s">
        <v>1341</v>
      </c>
      <c r="F144" s="43" t="s">
        <v>1628</v>
      </c>
      <c r="G144" s="44" t="s">
        <v>1978</v>
      </c>
      <c r="H144" s="42" t="s">
        <v>1824</v>
      </c>
      <c r="I144" s="43" t="s">
        <v>1979</v>
      </c>
      <c r="J144" s="45" t="s">
        <v>1980</v>
      </c>
      <c r="K144" s="42" t="s">
        <v>7</v>
      </c>
      <c r="L144" s="42" t="s">
        <v>1866</v>
      </c>
      <c r="M144" s="46" t="s">
        <v>4</v>
      </c>
      <c r="N144" s="46" t="s">
        <v>155</v>
      </c>
      <c r="O144" s="43" t="s">
        <v>1442</v>
      </c>
    </row>
    <row r="145" spans="1:15" ht="81.75" customHeight="1" x14ac:dyDescent="0.3">
      <c r="A145" s="42" t="s">
        <v>1981</v>
      </c>
      <c r="B145" s="43" t="s">
        <v>1982</v>
      </c>
      <c r="C145" s="42" t="s">
        <v>87</v>
      </c>
      <c r="D145" s="42" t="s">
        <v>147</v>
      </c>
      <c r="E145" s="42" t="s">
        <v>148</v>
      </c>
      <c r="F145" s="43" t="s">
        <v>1613</v>
      </c>
      <c r="G145" s="44" t="s">
        <v>1983</v>
      </c>
      <c r="H145" s="42" t="s">
        <v>1984</v>
      </c>
      <c r="I145" s="43" t="s">
        <v>1985</v>
      </c>
      <c r="J145" s="45" t="s">
        <v>1986</v>
      </c>
      <c r="K145" s="42" t="s">
        <v>7</v>
      </c>
      <c r="L145" s="42" t="s">
        <v>1866</v>
      </c>
      <c r="M145" s="46" t="s">
        <v>4</v>
      </c>
      <c r="N145" s="46" t="s">
        <v>155</v>
      </c>
      <c r="O145" s="43" t="s">
        <v>1987</v>
      </c>
    </row>
    <row r="146" spans="1:15" ht="81.75" customHeight="1" x14ac:dyDescent="0.3">
      <c r="A146" s="42" t="s">
        <v>1988</v>
      </c>
      <c r="B146" s="43" t="s">
        <v>1989</v>
      </c>
      <c r="C146" s="42" t="s">
        <v>87</v>
      </c>
      <c r="D146" s="42" t="s">
        <v>166</v>
      </c>
      <c r="E146" s="42" t="s">
        <v>1317</v>
      </c>
      <c r="F146" s="43" t="s">
        <v>1613</v>
      </c>
      <c r="G146" s="44" t="s">
        <v>1990</v>
      </c>
      <c r="H146" s="42" t="s">
        <v>1991</v>
      </c>
      <c r="I146" s="43" t="s">
        <v>1992</v>
      </c>
      <c r="J146" s="45" t="s">
        <v>1993</v>
      </c>
      <c r="K146" s="42" t="s">
        <v>7</v>
      </c>
      <c r="L146" s="42" t="s">
        <v>1866</v>
      </c>
      <c r="M146" s="46" t="s">
        <v>4</v>
      </c>
      <c r="N146" s="46" t="s">
        <v>155</v>
      </c>
      <c r="O146" s="43" t="s">
        <v>1321</v>
      </c>
    </row>
    <row r="147" spans="1:15" ht="81.75" customHeight="1" x14ac:dyDescent="0.3">
      <c r="A147" s="42" t="s">
        <v>1994</v>
      </c>
      <c r="B147" s="43" t="s">
        <v>1995</v>
      </c>
      <c r="C147" s="42" t="s">
        <v>87</v>
      </c>
      <c r="D147" s="42" t="s">
        <v>166</v>
      </c>
      <c r="E147" s="42" t="s">
        <v>1317</v>
      </c>
      <c r="F147" s="43" t="s">
        <v>1169</v>
      </c>
      <c r="G147" s="44" t="s">
        <v>1823</v>
      </c>
      <c r="H147" s="42" t="s">
        <v>1996</v>
      </c>
      <c r="I147" s="43" t="s">
        <v>1997</v>
      </c>
      <c r="J147" s="45" t="s">
        <v>1998</v>
      </c>
      <c r="K147" s="42" t="s">
        <v>7</v>
      </c>
      <c r="L147" s="42" t="s">
        <v>1866</v>
      </c>
      <c r="M147" s="46" t="s">
        <v>4</v>
      </c>
      <c r="N147" s="46" t="s">
        <v>155</v>
      </c>
      <c r="O147" s="43" t="s">
        <v>1321</v>
      </c>
    </row>
    <row r="148" spans="1:15" ht="81.75" customHeight="1" x14ac:dyDescent="0.3">
      <c r="A148" s="42" t="s">
        <v>1999</v>
      </c>
      <c r="B148" s="43" t="s">
        <v>2000</v>
      </c>
      <c r="C148" s="42" t="s">
        <v>87</v>
      </c>
      <c r="D148" s="42" t="s">
        <v>231</v>
      </c>
      <c r="E148" s="42" t="s">
        <v>1317</v>
      </c>
      <c r="F148" s="43" t="s">
        <v>2001</v>
      </c>
      <c r="G148" s="44" t="s">
        <v>1823</v>
      </c>
      <c r="H148" s="42" t="s">
        <v>2002</v>
      </c>
      <c r="I148" s="43" t="s">
        <v>2003</v>
      </c>
      <c r="J148" s="45" t="s">
        <v>2004</v>
      </c>
      <c r="K148" s="42" t="s">
        <v>7</v>
      </c>
      <c r="L148" s="42" t="s">
        <v>1866</v>
      </c>
      <c r="M148" s="46" t="s">
        <v>4</v>
      </c>
      <c r="N148" s="46" t="s">
        <v>155</v>
      </c>
      <c r="O148" s="43" t="s">
        <v>1321</v>
      </c>
    </row>
    <row r="149" spans="1:15" ht="54.75" customHeight="1" x14ac:dyDescent="0.3">
      <c r="A149" s="42" t="s">
        <v>2005</v>
      </c>
      <c r="B149" s="43" t="s">
        <v>2006</v>
      </c>
      <c r="C149" s="42" t="s">
        <v>87</v>
      </c>
      <c r="D149" s="42" t="s">
        <v>166</v>
      </c>
      <c r="E149" s="42" t="s">
        <v>273</v>
      </c>
      <c r="F149" s="43" t="s">
        <v>1613</v>
      </c>
      <c r="G149" s="44" t="s">
        <v>1823</v>
      </c>
      <c r="H149" s="42" t="s">
        <v>2007</v>
      </c>
      <c r="I149" s="43" t="s">
        <v>2008</v>
      </c>
      <c r="J149" s="45" t="s">
        <v>2009</v>
      </c>
      <c r="K149" s="42" t="s">
        <v>7</v>
      </c>
      <c r="L149" s="42" t="s">
        <v>1866</v>
      </c>
      <c r="M149" s="43" t="s">
        <v>5</v>
      </c>
      <c r="N149" s="43" t="s">
        <v>192</v>
      </c>
      <c r="O149" s="43" t="s">
        <v>1274</v>
      </c>
    </row>
    <row r="150" spans="1:15" ht="54.75" customHeight="1" x14ac:dyDescent="0.3">
      <c r="A150" s="42" t="s">
        <v>2010</v>
      </c>
      <c r="B150" s="43" t="s">
        <v>2011</v>
      </c>
      <c r="C150" s="42" t="s">
        <v>87</v>
      </c>
      <c r="D150" s="42" t="s">
        <v>147</v>
      </c>
      <c r="E150" s="42" t="s">
        <v>1341</v>
      </c>
      <c r="F150" s="43" t="s">
        <v>1342</v>
      </c>
      <c r="G150" s="44" t="s">
        <v>2012</v>
      </c>
      <c r="H150" s="42" t="s">
        <v>1824</v>
      </c>
      <c r="I150" s="43" t="s">
        <v>2013</v>
      </c>
      <c r="J150" s="45" t="s">
        <v>2014</v>
      </c>
      <c r="K150" s="42" t="s">
        <v>7</v>
      </c>
      <c r="L150" s="42" t="s">
        <v>1866</v>
      </c>
      <c r="M150" s="46" t="s">
        <v>4</v>
      </c>
      <c r="N150" s="46" t="s">
        <v>155</v>
      </c>
      <c r="O150" s="43" t="s">
        <v>1347</v>
      </c>
    </row>
    <row r="151" spans="1:15" ht="81.75" customHeight="1" x14ac:dyDescent="0.3">
      <c r="A151" s="42" t="s">
        <v>2015</v>
      </c>
      <c r="B151" s="43" t="s">
        <v>2016</v>
      </c>
      <c r="C151" s="42" t="s">
        <v>89</v>
      </c>
      <c r="D151" s="42" t="s">
        <v>166</v>
      </c>
      <c r="E151" s="42" t="s">
        <v>148</v>
      </c>
      <c r="F151" s="43" t="s">
        <v>2017</v>
      </c>
      <c r="G151" s="44" t="s">
        <v>2018</v>
      </c>
      <c r="H151" s="42" t="s">
        <v>1117</v>
      </c>
      <c r="I151" s="43" t="s">
        <v>2019</v>
      </c>
      <c r="J151" s="45" t="s">
        <v>2020</v>
      </c>
      <c r="K151" s="42" t="s">
        <v>7</v>
      </c>
      <c r="L151" s="42" t="s">
        <v>2021</v>
      </c>
      <c r="M151" s="46" t="s">
        <v>4</v>
      </c>
      <c r="N151" s="46" t="s">
        <v>155</v>
      </c>
      <c r="O151" s="43" t="s">
        <v>1175</v>
      </c>
    </row>
    <row r="152" spans="1:15" ht="68.25" customHeight="1" x14ac:dyDescent="0.3">
      <c r="A152" s="42" t="s">
        <v>2022</v>
      </c>
      <c r="B152" s="43" t="s">
        <v>627</v>
      </c>
      <c r="C152" s="42" t="s">
        <v>89</v>
      </c>
      <c r="D152" s="42" t="s">
        <v>166</v>
      </c>
      <c r="E152" s="42" t="s">
        <v>148</v>
      </c>
      <c r="F152" s="43" t="s">
        <v>2023</v>
      </c>
      <c r="G152" s="44" t="s">
        <v>2024</v>
      </c>
      <c r="H152" s="42" t="s">
        <v>2025</v>
      </c>
      <c r="I152" s="43" t="s">
        <v>2026</v>
      </c>
      <c r="J152" s="45" t="s">
        <v>2027</v>
      </c>
      <c r="K152" s="42" t="s">
        <v>7</v>
      </c>
      <c r="L152" s="42" t="s">
        <v>2028</v>
      </c>
      <c r="M152" s="46" t="s">
        <v>4</v>
      </c>
      <c r="N152" s="46" t="s">
        <v>155</v>
      </c>
      <c r="O152" s="43" t="s">
        <v>1175</v>
      </c>
    </row>
    <row r="153" spans="1:15" ht="54.75" customHeight="1" x14ac:dyDescent="0.3">
      <c r="A153" s="42" t="s">
        <v>2029</v>
      </c>
      <c r="B153" s="43" t="s">
        <v>2030</v>
      </c>
      <c r="C153" s="42" t="s">
        <v>89</v>
      </c>
      <c r="D153" s="42" t="s">
        <v>166</v>
      </c>
      <c r="E153" s="42" t="s">
        <v>148</v>
      </c>
      <c r="F153" s="43" t="s">
        <v>2023</v>
      </c>
      <c r="G153" s="44" t="s">
        <v>2031</v>
      </c>
      <c r="H153" s="42" t="s">
        <v>2032</v>
      </c>
      <c r="I153" s="43" t="s">
        <v>2033</v>
      </c>
      <c r="J153" s="45" t="s">
        <v>2034</v>
      </c>
      <c r="K153" s="42" t="s">
        <v>7</v>
      </c>
      <c r="L153" s="42" t="s">
        <v>2035</v>
      </c>
      <c r="M153" s="46" t="s">
        <v>4</v>
      </c>
      <c r="N153" s="46" t="s">
        <v>155</v>
      </c>
      <c r="O153" s="43" t="s">
        <v>1175</v>
      </c>
    </row>
    <row r="154" spans="1:15" ht="68.25" customHeight="1" x14ac:dyDescent="0.3">
      <c r="A154" s="42" t="s">
        <v>2036</v>
      </c>
      <c r="B154" s="43" t="s">
        <v>2037</v>
      </c>
      <c r="C154" s="42" t="s">
        <v>89</v>
      </c>
      <c r="D154" s="42" t="s">
        <v>166</v>
      </c>
      <c r="E154" s="42" t="s">
        <v>273</v>
      </c>
      <c r="F154" s="43" t="s">
        <v>2023</v>
      </c>
      <c r="G154" s="44" t="s">
        <v>2038</v>
      </c>
      <c r="H154" s="42" t="s">
        <v>2039</v>
      </c>
      <c r="I154" s="43" t="s">
        <v>2040</v>
      </c>
      <c r="J154" s="45" t="s">
        <v>2041</v>
      </c>
      <c r="K154" s="42" t="s">
        <v>7</v>
      </c>
      <c r="L154" s="42" t="s">
        <v>2042</v>
      </c>
      <c r="M154" s="46" t="s">
        <v>4</v>
      </c>
      <c r="N154" s="46" t="s">
        <v>155</v>
      </c>
      <c r="O154" s="43" t="s">
        <v>1205</v>
      </c>
    </row>
    <row r="155" spans="1:15" ht="68.25" customHeight="1" x14ac:dyDescent="0.3">
      <c r="A155" s="42" t="s">
        <v>2043</v>
      </c>
      <c r="B155" s="43" t="s">
        <v>2044</v>
      </c>
      <c r="C155" s="42" t="s">
        <v>89</v>
      </c>
      <c r="D155" s="42" t="s">
        <v>166</v>
      </c>
      <c r="E155" s="42" t="s">
        <v>273</v>
      </c>
      <c r="F155" s="43" t="s">
        <v>2023</v>
      </c>
      <c r="G155" s="44" t="s">
        <v>2045</v>
      </c>
      <c r="H155" s="42" t="s">
        <v>2046</v>
      </c>
      <c r="I155" s="43" t="s">
        <v>2047</v>
      </c>
      <c r="J155" s="45" t="s">
        <v>2048</v>
      </c>
      <c r="K155" s="42" t="s">
        <v>7</v>
      </c>
      <c r="L155" s="42" t="s">
        <v>2042</v>
      </c>
      <c r="M155" s="46" t="s">
        <v>4</v>
      </c>
      <c r="N155" s="46" t="s">
        <v>155</v>
      </c>
      <c r="O155" s="43" t="s">
        <v>1205</v>
      </c>
    </row>
    <row r="156" spans="1:15" ht="68.25" customHeight="1" x14ac:dyDescent="0.3">
      <c r="A156" s="42" t="s">
        <v>2049</v>
      </c>
      <c r="B156" s="43" t="s">
        <v>2050</v>
      </c>
      <c r="C156" s="42" t="s">
        <v>89</v>
      </c>
      <c r="D156" s="42" t="s">
        <v>166</v>
      </c>
      <c r="E156" s="42" t="s">
        <v>203</v>
      </c>
      <c r="F156" s="43" t="s">
        <v>2023</v>
      </c>
      <c r="G156" s="44" t="s">
        <v>2051</v>
      </c>
      <c r="H156" s="42" t="s">
        <v>2052</v>
      </c>
      <c r="I156" s="43" t="s">
        <v>2053</v>
      </c>
      <c r="J156" s="45" t="s">
        <v>2054</v>
      </c>
      <c r="K156" s="42" t="s">
        <v>7</v>
      </c>
      <c r="L156" s="42" t="s">
        <v>2042</v>
      </c>
      <c r="M156" s="46" t="s">
        <v>4</v>
      </c>
      <c r="N156" s="46" t="s">
        <v>155</v>
      </c>
      <c r="O156" s="43" t="s">
        <v>1197</v>
      </c>
    </row>
    <row r="157" spans="1:15" ht="54.75" customHeight="1" x14ac:dyDescent="0.3">
      <c r="A157" s="42" t="s">
        <v>2055</v>
      </c>
      <c r="B157" s="43" t="s">
        <v>2056</v>
      </c>
      <c r="C157" s="42" t="s">
        <v>89</v>
      </c>
      <c r="D157" s="42" t="s">
        <v>166</v>
      </c>
      <c r="E157" s="42" t="s">
        <v>203</v>
      </c>
      <c r="F157" s="43" t="s">
        <v>2023</v>
      </c>
      <c r="G157" s="44" t="s">
        <v>2057</v>
      </c>
      <c r="H157" s="42" t="s">
        <v>2058</v>
      </c>
      <c r="I157" s="43" t="s">
        <v>1527</v>
      </c>
      <c r="J157" s="45" t="s">
        <v>1528</v>
      </c>
      <c r="K157" s="42" t="s">
        <v>7</v>
      </c>
      <c r="L157" s="42" t="s">
        <v>2059</v>
      </c>
      <c r="M157" s="46" t="s">
        <v>4</v>
      </c>
      <c r="N157" s="46" t="s">
        <v>155</v>
      </c>
      <c r="O157" s="43" t="s">
        <v>1197</v>
      </c>
    </row>
    <row r="158" spans="1:15" ht="54.75" customHeight="1" x14ac:dyDescent="0.3">
      <c r="A158" s="42" t="s">
        <v>2060</v>
      </c>
      <c r="B158" s="43" t="s">
        <v>2061</v>
      </c>
      <c r="C158" s="42" t="s">
        <v>89</v>
      </c>
      <c r="D158" s="42" t="s">
        <v>166</v>
      </c>
      <c r="E158" s="42" t="s">
        <v>203</v>
      </c>
      <c r="F158" s="43" t="s">
        <v>2023</v>
      </c>
      <c r="G158" s="44" t="s">
        <v>2062</v>
      </c>
      <c r="H158" s="42" t="s">
        <v>2061</v>
      </c>
      <c r="I158" s="43" t="s">
        <v>1527</v>
      </c>
      <c r="J158" s="45" t="s">
        <v>1528</v>
      </c>
      <c r="K158" s="42" t="s">
        <v>7</v>
      </c>
      <c r="L158" s="42" t="s">
        <v>2063</v>
      </c>
      <c r="M158" s="46" t="s">
        <v>4</v>
      </c>
      <c r="N158" s="46" t="s">
        <v>155</v>
      </c>
      <c r="O158" s="43" t="s">
        <v>1197</v>
      </c>
    </row>
    <row r="159" spans="1:15" ht="81.75" customHeight="1" x14ac:dyDescent="0.3">
      <c r="A159" s="42" t="s">
        <v>2064</v>
      </c>
      <c r="B159" s="43" t="s">
        <v>2065</v>
      </c>
      <c r="C159" s="42" t="s">
        <v>89</v>
      </c>
      <c r="D159" s="42" t="s">
        <v>166</v>
      </c>
      <c r="E159" s="42" t="s">
        <v>273</v>
      </c>
      <c r="F159" s="43" t="s">
        <v>2023</v>
      </c>
      <c r="G159" s="44" t="s">
        <v>2066</v>
      </c>
      <c r="H159" s="42" t="s">
        <v>2067</v>
      </c>
      <c r="I159" s="43" t="s">
        <v>2068</v>
      </c>
      <c r="J159" s="45" t="s">
        <v>2069</v>
      </c>
      <c r="K159" s="42" t="s">
        <v>7</v>
      </c>
      <c r="L159" s="42" t="s">
        <v>2070</v>
      </c>
      <c r="M159" s="46" t="s">
        <v>4</v>
      </c>
      <c r="N159" s="46" t="s">
        <v>155</v>
      </c>
      <c r="O159" s="43" t="s">
        <v>1205</v>
      </c>
    </row>
    <row r="160" spans="1:15" ht="81.75" customHeight="1" x14ac:dyDescent="0.3">
      <c r="A160" s="42" t="s">
        <v>2071</v>
      </c>
      <c r="B160" s="43" t="s">
        <v>2072</v>
      </c>
      <c r="C160" s="42" t="s">
        <v>89</v>
      </c>
      <c r="D160" s="42" t="s">
        <v>166</v>
      </c>
      <c r="E160" s="42" t="s">
        <v>148</v>
      </c>
      <c r="F160" s="43" t="s">
        <v>2023</v>
      </c>
      <c r="G160" s="44" t="s">
        <v>2073</v>
      </c>
      <c r="H160" s="42" t="s">
        <v>2074</v>
      </c>
      <c r="I160" s="43" t="s">
        <v>2075</v>
      </c>
      <c r="J160" s="45" t="s">
        <v>2076</v>
      </c>
      <c r="K160" s="42" t="s">
        <v>7</v>
      </c>
      <c r="L160" s="42" t="s">
        <v>2077</v>
      </c>
      <c r="M160" s="46" t="s">
        <v>4</v>
      </c>
      <c r="N160" s="46" t="s">
        <v>155</v>
      </c>
      <c r="O160" s="43" t="s">
        <v>1175</v>
      </c>
    </row>
    <row r="161" spans="1:15" ht="68.25" customHeight="1" x14ac:dyDescent="0.3">
      <c r="A161" s="42" t="s">
        <v>2078</v>
      </c>
      <c r="B161" s="43" t="s">
        <v>2079</v>
      </c>
      <c r="C161" s="42" t="s">
        <v>89</v>
      </c>
      <c r="D161" s="42" t="s">
        <v>166</v>
      </c>
      <c r="E161" s="42" t="s">
        <v>148</v>
      </c>
      <c r="F161" s="43" t="s">
        <v>2080</v>
      </c>
      <c r="G161" s="44" t="s">
        <v>2081</v>
      </c>
      <c r="H161" s="42" t="s">
        <v>2082</v>
      </c>
      <c r="I161" s="43" t="s">
        <v>2083</v>
      </c>
      <c r="J161" s="45" t="s">
        <v>2084</v>
      </c>
      <c r="K161" s="42" t="s">
        <v>7</v>
      </c>
      <c r="L161" s="42" t="s">
        <v>2085</v>
      </c>
      <c r="M161" s="46" t="s">
        <v>4</v>
      </c>
      <c r="N161" s="46" t="s">
        <v>155</v>
      </c>
      <c r="O161" s="43" t="s">
        <v>1175</v>
      </c>
    </row>
    <row r="162" spans="1:15" ht="68.25" customHeight="1" x14ac:dyDescent="0.3">
      <c r="A162" s="42" t="s">
        <v>2086</v>
      </c>
      <c r="B162" s="43" t="s">
        <v>2087</v>
      </c>
      <c r="C162" s="42" t="s">
        <v>89</v>
      </c>
      <c r="D162" s="42" t="s">
        <v>231</v>
      </c>
      <c r="E162" s="42" t="s">
        <v>148</v>
      </c>
      <c r="F162" s="43" t="s">
        <v>2023</v>
      </c>
      <c r="G162" s="44" t="s">
        <v>2088</v>
      </c>
      <c r="H162" s="42" t="s">
        <v>2089</v>
      </c>
      <c r="I162" s="43" t="s">
        <v>2090</v>
      </c>
      <c r="J162" s="45" t="s">
        <v>2091</v>
      </c>
      <c r="K162" s="42" t="s">
        <v>7</v>
      </c>
      <c r="L162" s="42" t="s">
        <v>2085</v>
      </c>
      <c r="M162" s="46" t="s">
        <v>4</v>
      </c>
      <c r="N162" s="46" t="s">
        <v>155</v>
      </c>
      <c r="O162" s="43" t="s">
        <v>2092</v>
      </c>
    </row>
    <row r="163" spans="1:15" ht="54.75" customHeight="1" x14ac:dyDescent="0.3">
      <c r="A163" s="42" t="s">
        <v>2093</v>
      </c>
      <c r="B163" s="43" t="s">
        <v>2094</v>
      </c>
      <c r="C163" s="42" t="s">
        <v>89</v>
      </c>
      <c r="D163" s="42" t="s">
        <v>166</v>
      </c>
      <c r="E163" s="42" t="s">
        <v>273</v>
      </c>
      <c r="F163" s="43" t="s">
        <v>2095</v>
      </c>
      <c r="G163" s="44" t="s">
        <v>2096</v>
      </c>
      <c r="H163" s="42" t="s">
        <v>2097</v>
      </c>
      <c r="I163" s="43" t="s">
        <v>2098</v>
      </c>
      <c r="J163" s="45" t="s">
        <v>2099</v>
      </c>
      <c r="K163" s="42" t="s">
        <v>7</v>
      </c>
      <c r="L163" s="42" t="s">
        <v>2085</v>
      </c>
      <c r="M163" s="43" t="s">
        <v>5</v>
      </c>
      <c r="N163" s="43" t="s">
        <v>192</v>
      </c>
      <c r="O163" s="43" t="s">
        <v>2100</v>
      </c>
    </row>
    <row r="164" spans="1:15" ht="41.25" customHeight="1" x14ac:dyDescent="0.3">
      <c r="A164" s="42" t="s">
        <v>2101</v>
      </c>
      <c r="B164" s="43" t="s">
        <v>2102</v>
      </c>
      <c r="C164" s="42" t="s">
        <v>89</v>
      </c>
      <c r="D164" s="42" t="s">
        <v>231</v>
      </c>
      <c r="E164" s="42" t="s">
        <v>1341</v>
      </c>
      <c r="F164" s="43" t="s">
        <v>2103</v>
      </c>
      <c r="G164" s="44" t="s">
        <v>2104</v>
      </c>
      <c r="H164" s="42" t="s">
        <v>2105</v>
      </c>
      <c r="I164" s="43" t="s">
        <v>2106</v>
      </c>
      <c r="J164" s="45" t="s">
        <v>2107</v>
      </c>
      <c r="K164" s="42" t="s">
        <v>7</v>
      </c>
      <c r="L164" s="42" t="s">
        <v>2085</v>
      </c>
      <c r="M164" s="43" t="s">
        <v>5</v>
      </c>
      <c r="N164" s="43" t="s">
        <v>192</v>
      </c>
      <c r="O164" s="43" t="s">
        <v>1274</v>
      </c>
    </row>
    <row r="165" spans="1:15" ht="54.75" customHeight="1" x14ac:dyDescent="0.3">
      <c r="A165" s="42" t="s">
        <v>2108</v>
      </c>
      <c r="B165" s="43" t="s">
        <v>2109</v>
      </c>
      <c r="C165" s="42" t="s">
        <v>89</v>
      </c>
      <c r="D165" s="42" t="s">
        <v>147</v>
      </c>
      <c r="E165" s="42" t="s">
        <v>1341</v>
      </c>
      <c r="F165" s="43" t="s">
        <v>1342</v>
      </c>
      <c r="G165" s="44" t="s">
        <v>2110</v>
      </c>
      <c r="H165" s="42" t="s">
        <v>1344</v>
      </c>
      <c r="I165" s="43" t="s">
        <v>1345</v>
      </c>
      <c r="J165" s="45" t="s">
        <v>1346</v>
      </c>
      <c r="K165" s="42" t="s">
        <v>7</v>
      </c>
      <c r="L165" s="42" t="s">
        <v>2085</v>
      </c>
      <c r="M165" s="46" t="s">
        <v>4</v>
      </c>
      <c r="N165" s="46" t="s">
        <v>155</v>
      </c>
      <c r="O165" s="43" t="s">
        <v>1347</v>
      </c>
    </row>
    <row r="166" spans="1:15" ht="54.75" customHeight="1" x14ac:dyDescent="0.3">
      <c r="A166" s="42" t="s">
        <v>2111</v>
      </c>
      <c r="B166" s="43" t="s">
        <v>2112</v>
      </c>
      <c r="C166" s="42" t="s">
        <v>91</v>
      </c>
      <c r="D166" s="42" t="s">
        <v>147</v>
      </c>
      <c r="E166" s="42" t="s">
        <v>1341</v>
      </c>
      <c r="F166" s="43" t="s">
        <v>1117</v>
      </c>
      <c r="G166" s="44" t="s">
        <v>2113</v>
      </c>
      <c r="H166" s="42" t="s">
        <v>2112</v>
      </c>
      <c r="I166" s="43" t="s">
        <v>1345</v>
      </c>
      <c r="J166" s="45" t="s">
        <v>1346</v>
      </c>
      <c r="K166" s="42" t="s">
        <v>7</v>
      </c>
      <c r="L166" s="42" t="s">
        <v>2114</v>
      </c>
      <c r="M166" s="46" t="s">
        <v>4</v>
      </c>
      <c r="N166" s="46" t="s">
        <v>155</v>
      </c>
      <c r="O166" s="43" t="s">
        <v>1347</v>
      </c>
    </row>
    <row r="167" spans="1:15" ht="54.75" customHeight="1" x14ac:dyDescent="0.3">
      <c r="A167" s="42" t="s">
        <v>2115</v>
      </c>
      <c r="B167" s="43" t="s">
        <v>2116</v>
      </c>
      <c r="C167" s="42" t="s">
        <v>91</v>
      </c>
      <c r="D167" s="42" t="s">
        <v>166</v>
      </c>
      <c r="E167" s="42" t="s">
        <v>1341</v>
      </c>
      <c r="F167" s="43" t="s">
        <v>2117</v>
      </c>
      <c r="G167" s="44" t="s">
        <v>2118</v>
      </c>
      <c r="H167" s="42" t="s">
        <v>2119</v>
      </c>
      <c r="I167" s="43" t="s">
        <v>1345</v>
      </c>
      <c r="J167" s="45" t="s">
        <v>1346</v>
      </c>
      <c r="K167" s="42" t="s">
        <v>7</v>
      </c>
      <c r="L167" s="42" t="s">
        <v>2114</v>
      </c>
      <c r="M167" s="46" t="s">
        <v>4</v>
      </c>
      <c r="N167" s="46" t="s">
        <v>155</v>
      </c>
      <c r="O167" s="43" t="s">
        <v>1347</v>
      </c>
    </row>
    <row r="168" spans="1:15" ht="54.75" customHeight="1" x14ac:dyDescent="0.3">
      <c r="A168" s="42" t="s">
        <v>2120</v>
      </c>
      <c r="B168" s="43" t="s">
        <v>2121</v>
      </c>
      <c r="C168" s="42" t="s">
        <v>91</v>
      </c>
      <c r="D168" s="42" t="s">
        <v>166</v>
      </c>
      <c r="E168" s="42" t="s">
        <v>203</v>
      </c>
      <c r="F168" s="43" t="s">
        <v>1117</v>
      </c>
      <c r="G168" s="44" t="s">
        <v>2122</v>
      </c>
      <c r="H168" s="42" t="s">
        <v>2123</v>
      </c>
      <c r="I168" s="43" t="s">
        <v>2124</v>
      </c>
      <c r="J168" s="45" t="s">
        <v>2125</v>
      </c>
      <c r="K168" s="42" t="s">
        <v>7</v>
      </c>
      <c r="L168" s="42" t="s">
        <v>2114</v>
      </c>
      <c r="M168" s="46" t="s">
        <v>4</v>
      </c>
      <c r="N168" s="46" t="s">
        <v>155</v>
      </c>
      <c r="O168" s="43" t="s">
        <v>1175</v>
      </c>
    </row>
    <row r="169" spans="1:15" ht="68.25" customHeight="1" x14ac:dyDescent="0.3">
      <c r="A169" s="42" t="s">
        <v>2126</v>
      </c>
      <c r="B169" s="43" t="s">
        <v>2127</v>
      </c>
      <c r="C169" s="42" t="s">
        <v>91</v>
      </c>
      <c r="D169" s="42" t="s">
        <v>147</v>
      </c>
      <c r="E169" s="42" t="s">
        <v>148</v>
      </c>
      <c r="F169" s="43" t="s">
        <v>2128</v>
      </c>
      <c r="G169" s="44" t="s">
        <v>2129</v>
      </c>
      <c r="H169" s="42" t="s">
        <v>2130</v>
      </c>
      <c r="I169" s="43" t="s">
        <v>2131</v>
      </c>
      <c r="J169" s="45" t="s">
        <v>2132</v>
      </c>
      <c r="K169" s="42" t="s">
        <v>7</v>
      </c>
      <c r="L169" s="42" t="s">
        <v>2114</v>
      </c>
      <c r="M169" s="46" t="s">
        <v>4</v>
      </c>
      <c r="N169" s="46" t="s">
        <v>155</v>
      </c>
      <c r="O169" s="43" t="s">
        <v>2133</v>
      </c>
    </row>
    <row r="170" spans="1:15" ht="41.25" customHeight="1" x14ac:dyDescent="0.3">
      <c r="A170" s="42" t="s">
        <v>2134</v>
      </c>
      <c r="B170" s="43" t="s">
        <v>2135</v>
      </c>
      <c r="C170" s="42" t="s">
        <v>91</v>
      </c>
      <c r="D170" s="42" t="s">
        <v>231</v>
      </c>
      <c r="E170" s="42" t="s">
        <v>203</v>
      </c>
      <c r="F170" s="43" t="s">
        <v>1169</v>
      </c>
      <c r="G170" s="44" t="s">
        <v>2136</v>
      </c>
      <c r="H170" s="42" t="s">
        <v>2137</v>
      </c>
      <c r="I170" s="43" t="s">
        <v>2138</v>
      </c>
      <c r="J170" s="45" t="s">
        <v>2139</v>
      </c>
      <c r="K170" s="42" t="s">
        <v>9</v>
      </c>
      <c r="L170" s="42" t="s">
        <v>2114</v>
      </c>
      <c r="M170" s="43" t="s">
        <v>5</v>
      </c>
      <c r="N170" s="43" t="s">
        <v>192</v>
      </c>
      <c r="O170" s="43" t="s">
        <v>2140</v>
      </c>
    </row>
  </sheetData>
  <autoFilter ref="A1:O170" xr:uid="{00000000-0009-0000-0000-000006000000}"/>
  <dataValidations count="3">
    <dataValidation type="list" allowBlank="1" sqref="K2:K170" xr:uid="{00000000-0002-0000-0600-000000000000}">
      <formula1>"Not Run,PASS ✓,FAIL ✗,Blocked"</formula1>
      <formula2>0</formula2>
    </dataValidation>
    <dataValidation type="list" allowBlank="1" sqref="M2:M170" xr:uid="{00000000-0002-0000-0600-000001000000}">
      <formula1>"Manual,Automation"</formula1>
      <formula2>0</formula2>
    </dataValidation>
    <dataValidation type="list" allowBlank="1" sqref="N2:N170" xr:uid="{00000000-0002-0000-06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"/>
  <sheetViews>
    <sheetView zoomScaleNormal="100" workbookViewId="0"/>
  </sheetViews>
  <sheetFormatPr defaultColWidth="8.6640625" defaultRowHeight="14.4" x14ac:dyDescent="0.3"/>
  <cols>
    <col min="1" max="1" width="11" customWidth="1"/>
    <col min="2" max="2" width="9" customWidth="1"/>
    <col min="3" max="3" width="28" customWidth="1"/>
    <col min="4" max="4" width="42" customWidth="1"/>
    <col min="5" max="5" width="10" customWidth="1"/>
    <col min="6" max="6" width="11" customWidth="1"/>
    <col min="7" max="7" width="9" customWidth="1"/>
    <col min="8" max="8" width="14" customWidth="1"/>
    <col min="9" max="9" width="12" customWidth="1"/>
    <col min="10" max="10" width="9" customWidth="1"/>
    <col min="11" max="11" width="12" customWidth="1"/>
  </cols>
  <sheetData>
    <row r="1" spans="1:11" ht="15" customHeight="1" x14ac:dyDescent="0.3">
      <c r="A1" s="39" t="s">
        <v>68</v>
      </c>
      <c r="B1" s="39" t="s">
        <v>2141</v>
      </c>
      <c r="C1" s="39" t="s">
        <v>2142</v>
      </c>
      <c r="D1" s="39" t="s">
        <v>125</v>
      </c>
      <c r="E1" s="39" t="s">
        <v>1029</v>
      </c>
      <c r="F1" s="39" t="s">
        <v>2143</v>
      </c>
      <c r="G1" s="39" t="s">
        <v>2144</v>
      </c>
      <c r="H1" s="39" t="s">
        <v>1030</v>
      </c>
      <c r="I1" s="39" t="s">
        <v>4</v>
      </c>
      <c r="J1" s="39" t="s">
        <v>5</v>
      </c>
      <c r="K1" s="39" t="s">
        <v>6</v>
      </c>
    </row>
    <row r="2" spans="1:11" ht="15" customHeight="1" x14ac:dyDescent="0.3">
      <c r="A2" s="42" t="s">
        <v>72</v>
      </c>
      <c r="B2" s="42" t="s">
        <v>2145</v>
      </c>
      <c r="C2" s="42" t="s">
        <v>2146</v>
      </c>
      <c r="D2" s="43" t="s">
        <v>2147</v>
      </c>
      <c r="E2" s="42" t="s">
        <v>147</v>
      </c>
      <c r="F2" s="42">
        <v>5</v>
      </c>
      <c r="G2" s="42">
        <v>10</v>
      </c>
      <c r="H2" s="42">
        <f>COUNTIF('API Test Cases'!$C:$C,"GRAD-101 · POST /beneficiaries")</f>
        <v>31</v>
      </c>
      <c r="I2" s="42">
        <f>COUNTIFS('API Test Cases'!$C:$C,"GRAD-101 · POST /beneficiaries",'API Test Cases'!$M:$M,"Automation")</f>
        <v>30</v>
      </c>
      <c r="J2" s="42">
        <f>COUNTIFS('API Test Cases'!$C:$C,"GRAD-101 · POST /beneficiaries",'API Test Cases'!$M:$M,"Manual")</f>
        <v>1</v>
      </c>
      <c r="K2" s="42">
        <f>COUNTIFS('API Test Cases'!$C:$C,"GRAD-101 · POST /beneficiaries",'API Test Cases'!$N:$N,"Yes")</f>
        <v>30</v>
      </c>
    </row>
    <row r="3" spans="1:11" ht="15" customHeight="1" x14ac:dyDescent="0.3">
      <c r="A3" s="42" t="s">
        <v>74</v>
      </c>
      <c r="B3" s="42" t="s">
        <v>2145</v>
      </c>
      <c r="C3" s="42" t="s">
        <v>2148</v>
      </c>
      <c r="D3" s="43" t="s">
        <v>2149</v>
      </c>
      <c r="E3" s="42" t="s">
        <v>166</v>
      </c>
      <c r="F3" s="42">
        <v>3</v>
      </c>
      <c r="G3" s="42">
        <v>7</v>
      </c>
      <c r="H3" s="42">
        <f>COUNTIF('API Test Cases'!$C:$C,"GRAD-102 · GET /beneficiaries")</f>
        <v>15</v>
      </c>
      <c r="I3" s="42">
        <f>COUNTIFS('API Test Cases'!$C:$C,"GRAD-102 · GET /beneficiaries",'API Test Cases'!$M:$M,"Automation")</f>
        <v>15</v>
      </c>
      <c r="J3" s="42">
        <f>COUNTIFS('API Test Cases'!$C:$C,"GRAD-102 · GET /beneficiaries",'API Test Cases'!$M:$M,"Manual")</f>
        <v>0</v>
      </c>
      <c r="K3" s="42">
        <f>COUNTIFS('API Test Cases'!$C:$C,"GRAD-102 · GET /beneficiaries",'API Test Cases'!$N:$N,"Yes")</f>
        <v>15</v>
      </c>
    </row>
    <row r="4" spans="1:11" ht="15" customHeight="1" x14ac:dyDescent="0.3">
      <c r="A4" s="42" t="s">
        <v>76</v>
      </c>
      <c r="B4" s="42" t="s">
        <v>2145</v>
      </c>
      <c r="C4" s="42" t="s">
        <v>2150</v>
      </c>
      <c r="D4" s="43" t="s">
        <v>2151</v>
      </c>
      <c r="E4" s="42" t="s">
        <v>166</v>
      </c>
      <c r="F4" s="42">
        <v>2</v>
      </c>
      <c r="G4" s="42">
        <v>4</v>
      </c>
      <c r="H4" s="42">
        <f>COUNTIF('API Test Cases'!$C:$C,"GRAD-103 · DELETE /beneficiaries/{id}")</f>
        <v>7</v>
      </c>
      <c r="I4" s="42">
        <f>COUNTIFS('API Test Cases'!$C:$C,"GRAD-103 · DELETE /beneficiaries/{id}",'API Test Cases'!$M:$M,"Automation")</f>
        <v>6</v>
      </c>
      <c r="J4" s="42">
        <f>COUNTIFS('API Test Cases'!$C:$C,"GRAD-103 · DELETE /beneficiaries/{id}",'API Test Cases'!$M:$M,"Manual")</f>
        <v>1</v>
      </c>
      <c r="K4" s="42">
        <f>COUNTIFS('API Test Cases'!$C:$C,"GRAD-103 · DELETE /beneficiaries/{id}",'API Test Cases'!$N:$N,"Yes")</f>
        <v>6</v>
      </c>
    </row>
    <row r="5" spans="1:11" ht="15" customHeight="1" x14ac:dyDescent="0.3">
      <c r="A5" s="42" t="s">
        <v>78</v>
      </c>
      <c r="B5" s="42" t="s">
        <v>2152</v>
      </c>
      <c r="C5" s="42" t="s">
        <v>2153</v>
      </c>
      <c r="D5" s="43" t="s">
        <v>2154</v>
      </c>
      <c r="E5" s="42" t="s">
        <v>147</v>
      </c>
      <c r="F5" s="42">
        <v>5</v>
      </c>
      <c r="G5" s="42">
        <v>8</v>
      </c>
      <c r="H5" s="42">
        <f>COUNTIF('API Test Cases'!$C:$C,"GRAD-201 · POST /cards")</f>
        <v>21</v>
      </c>
      <c r="I5" s="42">
        <f>COUNTIFS('API Test Cases'!$C:$C,"GRAD-201 · POST /cards",'API Test Cases'!$M:$M,"Automation")</f>
        <v>21</v>
      </c>
      <c r="J5" s="42">
        <f>COUNTIFS('API Test Cases'!$C:$C,"GRAD-201 · POST /cards",'API Test Cases'!$M:$M,"Manual")</f>
        <v>0</v>
      </c>
      <c r="K5" s="42">
        <f>COUNTIFS('API Test Cases'!$C:$C,"GRAD-201 · POST /cards",'API Test Cases'!$N:$N,"Yes")</f>
        <v>21</v>
      </c>
    </row>
    <row r="6" spans="1:11" ht="15" customHeight="1" x14ac:dyDescent="0.3">
      <c r="A6" s="42" t="s">
        <v>80</v>
      </c>
      <c r="B6" s="42" t="s">
        <v>2152</v>
      </c>
      <c r="C6" s="42" t="s">
        <v>2155</v>
      </c>
      <c r="D6" s="43" t="s">
        <v>2156</v>
      </c>
      <c r="E6" s="42" t="s">
        <v>166</v>
      </c>
      <c r="F6" s="42">
        <v>2</v>
      </c>
      <c r="G6" s="42">
        <v>3</v>
      </c>
      <c r="H6" s="42">
        <f>COUNTIF('API Test Cases'!$C:$C,"GRAD-202 · GET /cards/{id}")</f>
        <v>6</v>
      </c>
      <c r="I6" s="42">
        <f>COUNTIFS('API Test Cases'!$C:$C,"GRAD-202 · GET /cards/{id}",'API Test Cases'!$M:$M,"Automation")</f>
        <v>5</v>
      </c>
      <c r="J6" s="42">
        <f>COUNTIFS('API Test Cases'!$C:$C,"GRAD-202 · GET /cards/{id}",'API Test Cases'!$M:$M,"Manual")</f>
        <v>1</v>
      </c>
      <c r="K6" s="42">
        <f>COUNTIFS('API Test Cases'!$C:$C,"GRAD-202 · GET /cards/{id}",'API Test Cases'!$N:$N,"Yes")</f>
        <v>5</v>
      </c>
    </row>
    <row r="7" spans="1:11" ht="15" customHeight="1" x14ac:dyDescent="0.3">
      <c r="A7" s="42" t="s">
        <v>82</v>
      </c>
      <c r="B7" s="42" t="s">
        <v>2152</v>
      </c>
      <c r="C7" s="42" t="s">
        <v>2157</v>
      </c>
      <c r="D7" s="43" t="s">
        <v>2158</v>
      </c>
      <c r="E7" s="42" t="s">
        <v>147</v>
      </c>
      <c r="F7" s="42">
        <v>3</v>
      </c>
      <c r="G7" s="42">
        <v>7</v>
      </c>
      <c r="H7" s="42">
        <f>COUNTIF('API Test Cases'!$C:$C,"GRAD-203 · POST /cards/{id}/block")</f>
        <v>19</v>
      </c>
      <c r="I7" s="42">
        <f>COUNTIFS('API Test Cases'!$C:$C,"GRAD-203 · POST /cards/{id}/block",'API Test Cases'!$M:$M,"Automation")</f>
        <v>17</v>
      </c>
      <c r="J7" s="42">
        <f>COUNTIFS('API Test Cases'!$C:$C,"GRAD-203 · POST /cards/{id}/block",'API Test Cases'!$M:$M,"Manual")</f>
        <v>2</v>
      </c>
      <c r="K7" s="42">
        <f>COUNTIFS('API Test Cases'!$C:$C,"GRAD-203 · POST /cards/{id}/block",'API Test Cases'!$N:$N,"Yes")</f>
        <v>17</v>
      </c>
    </row>
    <row r="8" spans="1:11" ht="15" customHeight="1" x14ac:dyDescent="0.3">
      <c r="A8" s="42" t="s">
        <v>84</v>
      </c>
      <c r="B8" s="42" t="s">
        <v>2152</v>
      </c>
      <c r="C8" s="42" t="s">
        <v>2159</v>
      </c>
      <c r="D8" s="43" t="s">
        <v>2160</v>
      </c>
      <c r="E8" s="42" t="s">
        <v>166</v>
      </c>
      <c r="F8" s="42">
        <v>2</v>
      </c>
      <c r="G8" s="42">
        <v>4</v>
      </c>
      <c r="H8" s="42">
        <f>COUNTIF('API Test Cases'!$C:$C,"GRAD-204 · POST /cards/{id}/unblock")</f>
        <v>9</v>
      </c>
      <c r="I8" s="42">
        <f>COUNTIFS('API Test Cases'!$C:$C,"GRAD-204 · POST /cards/{id}/unblock",'API Test Cases'!$M:$M,"Automation")</f>
        <v>8</v>
      </c>
      <c r="J8" s="42">
        <f>COUNTIFS('API Test Cases'!$C:$C,"GRAD-204 · POST /cards/{id}/unblock",'API Test Cases'!$M:$M,"Manual")</f>
        <v>1</v>
      </c>
      <c r="K8" s="42">
        <f>COUNTIFS('API Test Cases'!$C:$C,"GRAD-204 · POST /cards/{id}/unblock",'API Test Cases'!$N:$N,"Yes")</f>
        <v>8</v>
      </c>
    </row>
    <row r="9" spans="1:11" ht="15" customHeight="1" x14ac:dyDescent="0.3">
      <c r="A9" s="42" t="s">
        <v>86</v>
      </c>
      <c r="B9" s="42" t="s">
        <v>2161</v>
      </c>
      <c r="C9" s="42" t="s">
        <v>2162</v>
      </c>
      <c r="D9" s="43" t="s">
        <v>2163</v>
      </c>
      <c r="E9" s="42" t="s">
        <v>231</v>
      </c>
      <c r="F9" s="42">
        <v>2</v>
      </c>
      <c r="G9" s="42">
        <v>3</v>
      </c>
      <c r="H9" s="42">
        <f>COUNTIF('API Test Cases'!$C:$C,"GRAD-301 · GET /billers")</f>
        <v>6</v>
      </c>
      <c r="I9" s="42">
        <f>COUNTIFS('API Test Cases'!$C:$C,"GRAD-301 · GET /billers",'API Test Cases'!$M:$M,"Automation")</f>
        <v>5</v>
      </c>
      <c r="J9" s="42">
        <f>COUNTIFS('API Test Cases'!$C:$C,"GRAD-301 · GET /billers",'API Test Cases'!$M:$M,"Manual")</f>
        <v>1</v>
      </c>
      <c r="K9" s="42">
        <f>COUNTIFS('API Test Cases'!$C:$C,"GRAD-301 · GET /billers",'API Test Cases'!$N:$N,"Yes")</f>
        <v>5</v>
      </c>
    </row>
    <row r="10" spans="1:11" ht="15" customHeight="1" x14ac:dyDescent="0.3">
      <c r="A10" s="42" t="s">
        <v>88</v>
      </c>
      <c r="B10" s="42" t="s">
        <v>2161</v>
      </c>
      <c r="C10" s="42" t="s">
        <v>2164</v>
      </c>
      <c r="D10" s="43" t="s">
        <v>2165</v>
      </c>
      <c r="E10" s="42" t="s">
        <v>1822</v>
      </c>
      <c r="F10" s="42">
        <v>8</v>
      </c>
      <c r="G10" s="42">
        <v>15</v>
      </c>
      <c r="H10" s="42">
        <f>COUNTIF('API Test Cases'!$C:$C,"GRAD-302 · POST /bill-payments")</f>
        <v>35</v>
      </c>
      <c r="I10" s="42">
        <f>COUNTIFS('API Test Cases'!$C:$C,"GRAD-302 · POST /bill-payments",'API Test Cases'!$M:$M,"Automation")</f>
        <v>32</v>
      </c>
      <c r="J10" s="42">
        <f>COUNTIFS('API Test Cases'!$C:$C,"GRAD-302 · POST /bill-payments",'API Test Cases'!$M:$M,"Manual")</f>
        <v>3</v>
      </c>
      <c r="K10" s="42">
        <f>COUNTIFS('API Test Cases'!$C:$C,"GRAD-302 · POST /bill-payments",'API Test Cases'!$N:$N,"Yes")</f>
        <v>32</v>
      </c>
    </row>
    <row r="11" spans="1:11" ht="15" customHeight="1" x14ac:dyDescent="0.3">
      <c r="A11" s="42" t="s">
        <v>90</v>
      </c>
      <c r="B11" s="42" t="s">
        <v>2161</v>
      </c>
      <c r="C11" s="42" t="s">
        <v>2166</v>
      </c>
      <c r="D11" s="43" t="s">
        <v>2167</v>
      </c>
      <c r="E11" s="42" t="s">
        <v>166</v>
      </c>
      <c r="F11" s="42">
        <v>5</v>
      </c>
      <c r="G11" s="42">
        <v>8</v>
      </c>
      <c r="H11" s="42">
        <f>COUNTIF('API Test Cases'!$C:$C,"GRAD-303 · GET /bill-payments")</f>
        <v>15</v>
      </c>
      <c r="I11" s="42">
        <f>COUNTIFS('API Test Cases'!$C:$C,"GRAD-303 · GET /bill-payments",'API Test Cases'!$M:$M,"Automation")</f>
        <v>13</v>
      </c>
      <c r="J11" s="42">
        <f>COUNTIFS('API Test Cases'!$C:$C,"GRAD-303 · GET /bill-payments",'API Test Cases'!$M:$M,"Manual")</f>
        <v>2</v>
      </c>
      <c r="K11" s="42">
        <f>COUNTIFS('API Test Cases'!$C:$C,"GRAD-303 · GET /bill-payments",'API Test Cases'!$N:$N,"Yes")</f>
        <v>13</v>
      </c>
    </row>
    <row r="12" spans="1:11" ht="15" customHeight="1" x14ac:dyDescent="0.3">
      <c r="A12" s="42" t="s">
        <v>43</v>
      </c>
      <c r="B12" s="42" t="s">
        <v>1117</v>
      </c>
      <c r="C12" s="42" t="s">
        <v>1117</v>
      </c>
      <c r="D12" s="43" t="s">
        <v>2168</v>
      </c>
      <c r="E12" s="42" t="s">
        <v>1117</v>
      </c>
      <c r="F12" s="42" t="s">
        <v>1117</v>
      </c>
      <c r="G12" s="42" t="s">
        <v>1117</v>
      </c>
      <c r="H12" s="42">
        <f>COUNTIF('API Test Cases'!$C:$C,"Ümumi qaydalar (auth, sandbox, rate limit)")</f>
        <v>5</v>
      </c>
      <c r="I12" s="42">
        <f>COUNTIFS('API Test Cases'!$C:$C,"Ümumi qaydalar (auth, sandbox, rate limit)",'API Test Cases'!$M:$M,"Automation")</f>
        <v>4</v>
      </c>
      <c r="J12" s="42">
        <f>COUNTIFS('API Test Cases'!$C:$C,"Ümumi qaydalar (auth, sandbox, rate limit)",'API Test Cases'!$M:$M,"Manual")</f>
        <v>1</v>
      </c>
      <c r="K12" s="42">
        <f>COUNTIFS('API Test Cases'!$C:$C,"Ümumi qaydalar (auth, sandbox, rate limit)",'API Test Cases'!$N:$N,"Yes")</f>
        <v>4</v>
      </c>
    </row>
    <row r="13" spans="1:11" ht="15" customHeight="1" x14ac:dyDescent="0.3">
      <c r="A13" s="39" t="s">
        <v>1045</v>
      </c>
      <c r="B13" s="39"/>
      <c r="C13" s="39"/>
      <c r="D13" s="39"/>
      <c r="E13" s="39"/>
      <c r="F13" s="39">
        <f t="shared" ref="F13:K13" si="0">SUM(F2:F12)</f>
        <v>37</v>
      </c>
      <c r="G13" s="39">
        <f t="shared" si="0"/>
        <v>69</v>
      </c>
      <c r="H13" s="39">
        <f t="shared" si="0"/>
        <v>169</v>
      </c>
      <c r="I13" s="39">
        <f t="shared" si="0"/>
        <v>156</v>
      </c>
      <c r="J13" s="39">
        <f t="shared" si="0"/>
        <v>13</v>
      </c>
      <c r="K13" s="39">
        <f t="shared" si="0"/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0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20" customWidth="1"/>
    <col min="3" max="3" width="70" customWidth="1"/>
    <col min="4" max="4" width="20" customWidth="1"/>
  </cols>
  <sheetData>
    <row r="1" spans="1:4" ht="15" customHeight="1" x14ac:dyDescent="0.3">
      <c r="A1" s="39" t="s">
        <v>68</v>
      </c>
      <c r="B1" s="39" t="s">
        <v>2169</v>
      </c>
      <c r="C1" s="39" t="s">
        <v>2170</v>
      </c>
      <c r="D1" s="39" t="s">
        <v>2171</v>
      </c>
    </row>
    <row r="2" spans="1:4" ht="15" customHeight="1" x14ac:dyDescent="0.3">
      <c r="A2" s="42" t="s">
        <v>72</v>
      </c>
      <c r="B2" s="42" t="s">
        <v>2172</v>
      </c>
      <c r="C2" s="43" t="s">
        <v>1167</v>
      </c>
      <c r="D2" s="42" t="s">
        <v>2173</v>
      </c>
    </row>
    <row r="3" spans="1:4" ht="15" customHeight="1" x14ac:dyDescent="0.3">
      <c r="A3" s="42" t="s">
        <v>72</v>
      </c>
      <c r="B3" s="42" t="s">
        <v>2174</v>
      </c>
      <c r="C3" s="43" t="s">
        <v>2175</v>
      </c>
      <c r="D3" s="42" t="s">
        <v>2173</v>
      </c>
    </row>
    <row r="4" spans="1:4" ht="15" customHeight="1" x14ac:dyDescent="0.3">
      <c r="A4" s="42" t="s">
        <v>72</v>
      </c>
      <c r="B4" s="42" t="s">
        <v>2176</v>
      </c>
      <c r="C4" s="43" t="s">
        <v>1183</v>
      </c>
      <c r="D4" s="42" t="s">
        <v>2173</v>
      </c>
    </row>
    <row r="5" spans="1:4" ht="15" customHeight="1" x14ac:dyDescent="0.3">
      <c r="A5" s="42" t="s">
        <v>72</v>
      </c>
      <c r="B5" s="42" t="s">
        <v>2177</v>
      </c>
      <c r="C5" s="43" t="s">
        <v>1190</v>
      </c>
      <c r="D5" s="42" t="s">
        <v>2173</v>
      </c>
    </row>
    <row r="6" spans="1:4" ht="27.75" customHeight="1" x14ac:dyDescent="0.3">
      <c r="A6" s="42" t="s">
        <v>72</v>
      </c>
      <c r="B6" s="42" t="s">
        <v>2178</v>
      </c>
      <c r="C6" s="43" t="s">
        <v>2179</v>
      </c>
      <c r="D6" s="42" t="s">
        <v>2173</v>
      </c>
    </row>
    <row r="7" spans="1:4" ht="15" customHeight="1" x14ac:dyDescent="0.3">
      <c r="A7" s="42" t="s">
        <v>72</v>
      </c>
      <c r="B7" s="42" t="s">
        <v>2180</v>
      </c>
      <c r="C7" s="43" t="s">
        <v>2181</v>
      </c>
      <c r="D7" s="42" t="s">
        <v>2173</v>
      </c>
    </row>
    <row r="8" spans="1:4" ht="15" customHeight="1" x14ac:dyDescent="0.3">
      <c r="A8" s="42" t="s">
        <v>72</v>
      </c>
      <c r="B8" s="42" t="s">
        <v>2182</v>
      </c>
      <c r="C8" s="43" t="s">
        <v>2183</v>
      </c>
      <c r="D8" s="42" t="s">
        <v>2173</v>
      </c>
    </row>
    <row r="9" spans="1:4" ht="15" customHeight="1" x14ac:dyDescent="0.3">
      <c r="A9" s="42" t="s">
        <v>72</v>
      </c>
      <c r="B9" s="42" t="s">
        <v>2184</v>
      </c>
      <c r="C9" s="43" t="s">
        <v>1289</v>
      </c>
      <c r="D9" s="42" t="s">
        <v>2173</v>
      </c>
    </row>
    <row r="10" spans="1:4" ht="15" customHeight="1" x14ac:dyDescent="0.3">
      <c r="A10" s="42" t="s">
        <v>72</v>
      </c>
      <c r="B10" s="42" t="s">
        <v>2185</v>
      </c>
      <c r="C10" s="43" t="s">
        <v>2186</v>
      </c>
      <c r="D10" s="42" t="s">
        <v>2173</v>
      </c>
    </row>
    <row r="11" spans="1:4" ht="15" customHeight="1" x14ac:dyDescent="0.3">
      <c r="A11" s="42" t="s">
        <v>72</v>
      </c>
      <c r="B11" s="42" t="s">
        <v>2187</v>
      </c>
      <c r="C11" s="43" t="s">
        <v>1308</v>
      </c>
      <c r="D11" s="42" t="s">
        <v>2173</v>
      </c>
    </row>
    <row r="12" spans="1:4" ht="15" customHeight="1" x14ac:dyDescent="0.3">
      <c r="A12" s="42" t="s">
        <v>74</v>
      </c>
      <c r="B12" s="42" t="s">
        <v>2172</v>
      </c>
      <c r="C12" s="43" t="s">
        <v>1348</v>
      </c>
      <c r="D12" s="42" t="s">
        <v>2173</v>
      </c>
    </row>
    <row r="13" spans="1:4" ht="15" customHeight="1" x14ac:dyDescent="0.3">
      <c r="A13" s="42" t="s">
        <v>74</v>
      </c>
      <c r="B13" s="42" t="s">
        <v>2174</v>
      </c>
      <c r="C13" s="43" t="s">
        <v>2188</v>
      </c>
      <c r="D13" s="42" t="s">
        <v>2173</v>
      </c>
    </row>
    <row r="14" spans="1:4" ht="15" customHeight="1" x14ac:dyDescent="0.3">
      <c r="A14" s="42" t="s">
        <v>74</v>
      </c>
      <c r="B14" s="42" t="s">
        <v>2176</v>
      </c>
      <c r="C14" s="43" t="s">
        <v>1375</v>
      </c>
      <c r="D14" s="42" t="s">
        <v>2173</v>
      </c>
    </row>
    <row r="15" spans="1:4" ht="15" customHeight="1" x14ac:dyDescent="0.3">
      <c r="A15" s="42" t="s">
        <v>74</v>
      </c>
      <c r="B15" s="42" t="s">
        <v>2177</v>
      </c>
      <c r="C15" s="43" t="s">
        <v>2189</v>
      </c>
      <c r="D15" s="42" t="s">
        <v>2173</v>
      </c>
    </row>
    <row r="16" spans="1:4" ht="15" customHeight="1" x14ac:dyDescent="0.3">
      <c r="A16" s="42" t="s">
        <v>74</v>
      </c>
      <c r="B16" s="42" t="s">
        <v>2178</v>
      </c>
      <c r="C16" s="43" t="s">
        <v>1395</v>
      </c>
      <c r="D16" s="42" t="s">
        <v>2173</v>
      </c>
    </row>
    <row r="17" spans="1:4" ht="15" customHeight="1" x14ac:dyDescent="0.3">
      <c r="A17" s="42" t="s">
        <v>74</v>
      </c>
      <c r="B17" s="42" t="s">
        <v>2180</v>
      </c>
      <c r="C17" s="43" t="s">
        <v>2190</v>
      </c>
      <c r="D17" s="42" t="s">
        <v>2173</v>
      </c>
    </row>
    <row r="18" spans="1:4" ht="15" customHeight="1" x14ac:dyDescent="0.3">
      <c r="A18" s="42" t="s">
        <v>74</v>
      </c>
      <c r="B18" s="42" t="s">
        <v>2182</v>
      </c>
      <c r="C18" s="43" t="s">
        <v>1415</v>
      </c>
      <c r="D18" s="42" t="s">
        <v>2173</v>
      </c>
    </row>
    <row r="19" spans="1:4" ht="15" customHeight="1" x14ac:dyDescent="0.3">
      <c r="A19" s="42" t="s">
        <v>76</v>
      </c>
      <c r="B19" s="42" t="s">
        <v>2172</v>
      </c>
      <c r="C19" s="43" t="s">
        <v>1446</v>
      </c>
      <c r="D19" s="42" t="s">
        <v>2173</v>
      </c>
    </row>
    <row r="20" spans="1:4" ht="15" customHeight="1" x14ac:dyDescent="0.3">
      <c r="A20" s="42" t="s">
        <v>76</v>
      </c>
      <c r="B20" s="42" t="s">
        <v>2174</v>
      </c>
      <c r="C20" s="43" t="s">
        <v>1454</v>
      </c>
      <c r="D20" s="42" t="s">
        <v>2173</v>
      </c>
    </row>
    <row r="21" spans="1:4" ht="15" customHeight="1" x14ac:dyDescent="0.3">
      <c r="A21" s="42" t="s">
        <v>76</v>
      </c>
      <c r="B21" s="42" t="s">
        <v>2176</v>
      </c>
      <c r="C21" s="43" t="s">
        <v>1461</v>
      </c>
      <c r="D21" s="42" t="s">
        <v>2173</v>
      </c>
    </row>
    <row r="22" spans="1:4" ht="15" customHeight="1" x14ac:dyDescent="0.3">
      <c r="A22" s="42" t="s">
        <v>76</v>
      </c>
      <c r="B22" s="42" t="s">
        <v>2177</v>
      </c>
      <c r="C22" s="43" t="s">
        <v>1467</v>
      </c>
      <c r="D22" s="42" t="s">
        <v>2173</v>
      </c>
    </row>
    <row r="23" spans="1:4" ht="15" customHeight="1" x14ac:dyDescent="0.3">
      <c r="A23" s="42" t="s">
        <v>78</v>
      </c>
      <c r="B23" s="42" t="s">
        <v>2172</v>
      </c>
      <c r="C23" s="43" t="s">
        <v>1490</v>
      </c>
      <c r="D23" s="42" t="s">
        <v>2173</v>
      </c>
    </row>
    <row r="24" spans="1:4" ht="15" customHeight="1" x14ac:dyDescent="0.3">
      <c r="A24" s="42" t="s">
        <v>78</v>
      </c>
      <c r="B24" s="42" t="s">
        <v>2174</v>
      </c>
      <c r="C24" s="43" t="s">
        <v>1497</v>
      </c>
      <c r="D24" s="42" t="s">
        <v>2173</v>
      </c>
    </row>
    <row r="25" spans="1:4" ht="15" customHeight="1" x14ac:dyDescent="0.3">
      <c r="A25" s="42" t="s">
        <v>78</v>
      </c>
      <c r="B25" s="42" t="s">
        <v>2176</v>
      </c>
      <c r="C25" s="43" t="s">
        <v>2191</v>
      </c>
      <c r="D25" s="42" t="s">
        <v>2173</v>
      </c>
    </row>
    <row r="26" spans="1:4" ht="15" customHeight="1" x14ac:dyDescent="0.3">
      <c r="A26" s="42" t="s">
        <v>78</v>
      </c>
      <c r="B26" s="42" t="s">
        <v>2177</v>
      </c>
      <c r="C26" s="43" t="s">
        <v>2192</v>
      </c>
      <c r="D26" s="42" t="s">
        <v>2173</v>
      </c>
    </row>
    <row r="27" spans="1:4" ht="15" customHeight="1" x14ac:dyDescent="0.3">
      <c r="A27" s="42" t="s">
        <v>78</v>
      </c>
      <c r="B27" s="42" t="s">
        <v>2178</v>
      </c>
      <c r="C27" s="43" t="s">
        <v>1545</v>
      </c>
      <c r="D27" s="42" t="s">
        <v>2173</v>
      </c>
    </row>
    <row r="28" spans="1:4" ht="15" customHeight="1" x14ac:dyDescent="0.3">
      <c r="A28" s="42" t="s">
        <v>78</v>
      </c>
      <c r="B28" s="42" t="s">
        <v>2180</v>
      </c>
      <c r="C28" s="43" t="s">
        <v>2193</v>
      </c>
      <c r="D28" s="42" t="s">
        <v>2173</v>
      </c>
    </row>
    <row r="29" spans="1:4" ht="15" customHeight="1" x14ac:dyDescent="0.3">
      <c r="A29" s="42" t="s">
        <v>78</v>
      </c>
      <c r="B29" s="42" t="s">
        <v>2182</v>
      </c>
      <c r="C29" s="43" t="s">
        <v>1568</v>
      </c>
      <c r="D29" s="42" t="s">
        <v>2173</v>
      </c>
    </row>
    <row r="30" spans="1:4" ht="15" customHeight="1" x14ac:dyDescent="0.3">
      <c r="A30" s="42" t="s">
        <v>78</v>
      </c>
      <c r="B30" s="42" t="s">
        <v>2184</v>
      </c>
      <c r="C30" s="43" t="s">
        <v>1575</v>
      </c>
      <c r="D30" s="42" t="s">
        <v>2173</v>
      </c>
    </row>
    <row r="31" spans="1:4" ht="15" customHeight="1" x14ac:dyDescent="0.3">
      <c r="A31" s="42" t="s">
        <v>80</v>
      </c>
      <c r="B31" s="42" t="s">
        <v>2172</v>
      </c>
      <c r="C31" s="43" t="s">
        <v>1611</v>
      </c>
      <c r="D31" s="42" t="s">
        <v>2173</v>
      </c>
    </row>
    <row r="32" spans="1:4" ht="15" customHeight="1" x14ac:dyDescent="0.3">
      <c r="A32" s="42" t="s">
        <v>80</v>
      </c>
      <c r="B32" s="42" t="s">
        <v>2174</v>
      </c>
      <c r="C32" s="43" t="s">
        <v>1619</v>
      </c>
      <c r="D32" s="42" t="s">
        <v>2173</v>
      </c>
    </row>
    <row r="33" spans="1:4" ht="15" customHeight="1" x14ac:dyDescent="0.3">
      <c r="A33" s="42" t="s">
        <v>80</v>
      </c>
      <c r="B33" s="42" t="s">
        <v>2176</v>
      </c>
      <c r="C33" s="43" t="s">
        <v>1626</v>
      </c>
      <c r="D33" s="42" t="s">
        <v>2173</v>
      </c>
    </row>
    <row r="34" spans="1:4" ht="15" customHeight="1" x14ac:dyDescent="0.3">
      <c r="A34" s="42" t="s">
        <v>82</v>
      </c>
      <c r="B34" s="42" t="s">
        <v>2172</v>
      </c>
      <c r="C34" s="43" t="s">
        <v>1649</v>
      </c>
      <c r="D34" s="42" t="s">
        <v>2173</v>
      </c>
    </row>
    <row r="35" spans="1:4" ht="15" customHeight="1" x14ac:dyDescent="0.3">
      <c r="A35" s="42" t="s">
        <v>82</v>
      </c>
      <c r="B35" s="42" t="s">
        <v>2174</v>
      </c>
      <c r="C35" s="43" t="s">
        <v>2194</v>
      </c>
      <c r="D35" s="42" t="s">
        <v>2173</v>
      </c>
    </row>
    <row r="36" spans="1:4" ht="15" customHeight="1" x14ac:dyDescent="0.3">
      <c r="A36" s="42" t="s">
        <v>82</v>
      </c>
      <c r="B36" s="42" t="s">
        <v>2176</v>
      </c>
      <c r="C36" s="43" t="s">
        <v>2195</v>
      </c>
      <c r="D36" s="42" t="s">
        <v>2173</v>
      </c>
    </row>
    <row r="37" spans="1:4" ht="15" customHeight="1" x14ac:dyDescent="0.3">
      <c r="A37" s="42" t="s">
        <v>82</v>
      </c>
      <c r="B37" s="42" t="s">
        <v>2177</v>
      </c>
      <c r="C37" s="43" t="s">
        <v>1676</v>
      </c>
      <c r="D37" s="42" t="s">
        <v>2173</v>
      </c>
    </row>
    <row r="38" spans="1:4" ht="15" customHeight="1" x14ac:dyDescent="0.3">
      <c r="A38" s="42" t="s">
        <v>82</v>
      </c>
      <c r="B38" s="42" t="s">
        <v>2178</v>
      </c>
      <c r="C38" s="43" t="s">
        <v>2196</v>
      </c>
      <c r="D38" s="42" t="s">
        <v>2173</v>
      </c>
    </row>
    <row r="39" spans="1:4" ht="15" customHeight="1" x14ac:dyDescent="0.3">
      <c r="A39" s="42" t="s">
        <v>82</v>
      </c>
      <c r="B39" s="42" t="s">
        <v>2180</v>
      </c>
      <c r="C39" s="43" t="s">
        <v>2197</v>
      </c>
      <c r="D39" s="42" t="s">
        <v>2173</v>
      </c>
    </row>
    <row r="40" spans="1:4" ht="15" customHeight="1" x14ac:dyDescent="0.3">
      <c r="A40" s="42" t="s">
        <v>82</v>
      </c>
      <c r="B40" s="42" t="s">
        <v>2182</v>
      </c>
      <c r="C40" s="43" t="s">
        <v>2198</v>
      </c>
      <c r="D40" s="42" t="s">
        <v>2173</v>
      </c>
    </row>
    <row r="41" spans="1:4" ht="15" customHeight="1" x14ac:dyDescent="0.3">
      <c r="A41" s="42" t="s">
        <v>84</v>
      </c>
      <c r="B41" s="42" t="s">
        <v>2172</v>
      </c>
      <c r="C41" s="43" t="s">
        <v>1738</v>
      </c>
      <c r="D41" s="42" t="s">
        <v>2173</v>
      </c>
    </row>
    <row r="42" spans="1:4" ht="15" customHeight="1" x14ac:dyDescent="0.3">
      <c r="A42" s="42" t="s">
        <v>84</v>
      </c>
      <c r="B42" s="42" t="s">
        <v>2174</v>
      </c>
      <c r="C42" s="43" t="s">
        <v>1744</v>
      </c>
      <c r="D42" s="42" t="s">
        <v>2173</v>
      </c>
    </row>
    <row r="43" spans="1:4" ht="15" customHeight="1" x14ac:dyDescent="0.3">
      <c r="A43" s="42" t="s">
        <v>84</v>
      </c>
      <c r="B43" s="42" t="s">
        <v>2176</v>
      </c>
      <c r="C43" s="43" t="s">
        <v>1749</v>
      </c>
      <c r="D43" s="42" t="s">
        <v>2173</v>
      </c>
    </row>
    <row r="44" spans="1:4" ht="15" customHeight="1" x14ac:dyDescent="0.3">
      <c r="A44" s="42" t="s">
        <v>84</v>
      </c>
      <c r="B44" s="42" t="s">
        <v>2177</v>
      </c>
      <c r="C44" s="43" t="s">
        <v>1754</v>
      </c>
      <c r="D44" s="42" t="s">
        <v>2173</v>
      </c>
    </row>
    <row r="45" spans="1:4" ht="15" customHeight="1" x14ac:dyDescent="0.3">
      <c r="A45" s="42" t="s">
        <v>86</v>
      </c>
      <c r="B45" s="42" t="s">
        <v>2172</v>
      </c>
      <c r="C45" s="43" t="s">
        <v>1784</v>
      </c>
      <c r="D45" s="42" t="s">
        <v>2173</v>
      </c>
    </row>
    <row r="46" spans="1:4" ht="15" customHeight="1" x14ac:dyDescent="0.3">
      <c r="A46" s="42" t="s">
        <v>86</v>
      </c>
      <c r="B46" s="42" t="s">
        <v>2174</v>
      </c>
      <c r="C46" s="43" t="s">
        <v>2199</v>
      </c>
      <c r="D46" s="42" t="s">
        <v>2173</v>
      </c>
    </row>
    <row r="47" spans="1:4" ht="15" customHeight="1" x14ac:dyDescent="0.3">
      <c r="A47" s="42" t="s">
        <v>86</v>
      </c>
      <c r="B47" s="42" t="s">
        <v>2176</v>
      </c>
      <c r="C47" s="43" t="s">
        <v>1803</v>
      </c>
      <c r="D47" s="42" t="s">
        <v>2173</v>
      </c>
    </row>
    <row r="48" spans="1:4" ht="15" customHeight="1" x14ac:dyDescent="0.3">
      <c r="A48" s="42" t="s">
        <v>88</v>
      </c>
      <c r="B48" s="42" t="s">
        <v>2172</v>
      </c>
      <c r="C48" s="43" t="s">
        <v>1820</v>
      </c>
      <c r="D48" s="42" t="s">
        <v>2173</v>
      </c>
    </row>
    <row r="49" spans="1:4" ht="15" customHeight="1" x14ac:dyDescent="0.3">
      <c r="A49" s="42" t="s">
        <v>88</v>
      </c>
      <c r="B49" s="42" t="s">
        <v>2174</v>
      </c>
      <c r="C49" s="43" t="s">
        <v>1828</v>
      </c>
      <c r="D49" s="42" t="s">
        <v>2173</v>
      </c>
    </row>
    <row r="50" spans="1:4" ht="15" customHeight="1" x14ac:dyDescent="0.3">
      <c r="A50" s="42" t="s">
        <v>88</v>
      </c>
      <c r="B50" s="42" t="s">
        <v>2176</v>
      </c>
      <c r="C50" s="43" t="s">
        <v>1834</v>
      </c>
      <c r="D50" s="42" t="s">
        <v>2173</v>
      </c>
    </row>
    <row r="51" spans="1:4" ht="15" customHeight="1" x14ac:dyDescent="0.3">
      <c r="A51" s="42" t="s">
        <v>88</v>
      </c>
      <c r="B51" s="42" t="s">
        <v>2177</v>
      </c>
      <c r="C51" s="43" t="s">
        <v>1841</v>
      </c>
      <c r="D51" s="42" t="s">
        <v>2173</v>
      </c>
    </row>
    <row r="52" spans="1:4" ht="15" customHeight="1" x14ac:dyDescent="0.3">
      <c r="A52" s="42" t="s">
        <v>88</v>
      </c>
      <c r="B52" s="42" t="s">
        <v>2178</v>
      </c>
      <c r="C52" s="43" t="s">
        <v>1848</v>
      </c>
      <c r="D52" s="42" t="s">
        <v>2173</v>
      </c>
    </row>
    <row r="53" spans="1:4" ht="15" customHeight="1" x14ac:dyDescent="0.3">
      <c r="A53" s="42" t="s">
        <v>88</v>
      </c>
      <c r="B53" s="42" t="s">
        <v>2180</v>
      </c>
      <c r="C53" s="43" t="s">
        <v>1855</v>
      </c>
      <c r="D53" s="42" t="s">
        <v>2173</v>
      </c>
    </row>
    <row r="54" spans="1:4" ht="15" customHeight="1" x14ac:dyDescent="0.3">
      <c r="A54" s="42" t="s">
        <v>88</v>
      </c>
      <c r="B54" s="42" t="s">
        <v>2182</v>
      </c>
      <c r="C54" s="43" t="s">
        <v>2200</v>
      </c>
      <c r="D54" s="42" t="s">
        <v>2173</v>
      </c>
    </row>
    <row r="55" spans="1:4" ht="15" customHeight="1" x14ac:dyDescent="0.3">
      <c r="A55" s="42" t="s">
        <v>88</v>
      </c>
      <c r="B55" s="42" t="s">
        <v>2184</v>
      </c>
      <c r="C55" s="43" t="s">
        <v>2201</v>
      </c>
      <c r="D55" s="42" t="s">
        <v>2173</v>
      </c>
    </row>
    <row r="56" spans="1:4" ht="15" customHeight="1" x14ac:dyDescent="0.3">
      <c r="A56" s="42" t="s">
        <v>88</v>
      </c>
      <c r="B56" s="42" t="s">
        <v>2185</v>
      </c>
      <c r="C56" s="43" t="s">
        <v>1904</v>
      </c>
      <c r="D56" s="42" t="s">
        <v>2173</v>
      </c>
    </row>
    <row r="57" spans="1:4" ht="15" customHeight="1" x14ac:dyDescent="0.3">
      <c r="A57" s="42" t="s">
        <v>88</v>
      </c>
      <c r="B57" s="42" t="s">
        <v>2187</v>
      </c>
      <c r="C57" s="43" t="s">
        <v>1911</v>
      </c>
      <c r="D57" s="42" t="s">
        <v>2173</v>
      </c>
    </row>
    <row r="58" spans="1:4" ht="15" customHeight="1" x14ac:dyDescent="0.3">
      <c r="A58" s="42" t="s">
        <v>88</v>
      </c>
      <c r="B58" s="42" t="s">
        <v>2202</v>
      </c>
      <c r="C58" s="43" t="s">
        <v>2203</v>
      </c>
      <c r="D58" s="42" t="s">
        <v>2204</v>
      </c>
    </row>
    <row r="59" spans="1:4" ht="15" customHeight="1" x14ac:dyDescent="0.3">
      <c r="A59" s="42" t="s">
        <v>88</v>
      </c>
      <c r="B59" s="42" t="s">
        <v>2205</v>
      </c>
      <c r="C59" s="43" t="s">
        <v>1932</v>
      </c>
      <c r="D59" s="42" t="s">
        <v>2173</v>
      </c>
    </row>
    <row r="60" spans="1:4" ht="15" customHeight="1" x14ac:dyDescent="0.3">
      <c r="A60" s="42" t="s">
        <v>88</v>
      </c>
      <c r="B60" s="42" t="s">
        <v>2206</v>
      </c>
      <c r="C60" s="43" t="s">
        <v>2207</v>
      </c>
      <c r="D60" s="42" t="s">
        <v>2173</v>
      </c>
    </row>
    <row r="61" spans="1:4" ht="15" customHeight="1" x14ac:dyDescent="0.3">
      <c r="A61" s="42" t="s">
        <v>88</v>
      </c>
      <c r="B61" s="42" t="s">
        <v>2208</v>
      </c>
      <c r="C61" s="43" t="s">
        <v>2209</v>
      </c>
      <c r="D61" s="42" t="s">
        <v>2173</v>
      </c>
    </row>
    <row r="62" spans="1:4" ht="15" customHeight="1" x14ac:dyDescent="0.3">
      <c r="A62" s="42" t="s">
        <v>88</v>
      </c>
      <c r="B62" s="42" t="s">
        <v>2210</v>
      </c>
      <c r="C62" s="43" t="s">
        <v>1959</v>
      </c>
      <c r="D62" s="42" t="s">
        <v>2173</v>
      </c>
    </row>
    <row r="63" spans="1:4" ht="15" customHeight="1" x14ac:dyDescent="0.3">
      <c r="A63" s="42" t="s">
        <v>90</v>
      </c>
      <c r="B63" s="42" t="s">
        <v>2172</v>
      </c>
      <c r="C63" s="43" t="s">
        <v>2015</v>
      </c>
      <c r="D63" s="42" t="s">
        <v>2173</v>
      </c>
    </row>
    <row r="64" spans="1:4" ht="15" customHeight="1" x14ac:dyDescent="0.3">
      <c r="A64" s="42" t="s">
        <v>90</v>
      </c>
      <c r="B64" s="42" t="s">
        <v>2174</v>
      </c>
      <c r="C64" s="43" t="s">
        <v>2022</v>
      </c>
      <c r="D64" s="42" t="s">
        <v>2173</v>
      </c>
    </row>
    <row r="65" spans="1:4" ht="15" customHeight="1" x14ac:dyDescent="0.3">
      <c r="A65" s="42" t="s">
        <v>90</v>
      </c>
      <c r="B65" s="42" t="s">
        <v>2176</v>
      </c>
      <c r="C65" s="43" t="s">
        <v>2029</v>
      </c>
      <c r="D65" s="42" t="s">
        <v>2173</v>
      </c>
    </row>
    <row r="66" spans="1:4" ht="15" customHeight="1" x14ac:dyDescent="0.3">
      <c r="A66" s="42" t="s">
        <v>90</v>
      </c>
      <c r="B66" s="42" t="s">
        <v>2177</v>
      </c>
      <c r="C66" s="43" t="s">
        <v>2211</v>
      </c>
      <c r="D66" s="42" t="s">
        <v>2173</v>
      </c>
    </row>
    <row r="67" spans="1:4" ht="15" customHeight="1" x14ac:dyDescent="0.3">
      <c r="A67" s="42" t="s">
        <v>90</v>
      </c>
      <c r="B67" s="42" t="s">
        <v>2178</v>
      </c>
      <c r="C67" s="43" t="s">
        <v>2055</v>
      </c>
      <c r="D67" s="42" t="s">
        <v>2173</v>
      </c>
    </row>
    <row r="68" spans="1:4" ht="15" customHeight="1" x14ac:dyDescent="0.3">
      <c r="A68" s="42" t="s">
        <v>90</v>
      </c>
      <c r="B68" s="42" t="s">
        <v>2180</v>
      </c>
      <c r="C68" s="43" t="s">
        <v>2060</v>
      </c>
      <c r="D68" s="42" t="s">
        <v>2173</v>
      </c>
    </row>
    <row r="69" spans="1:4" ht="15" customHeight="1" x14ac:dyDescent="0.3">
      <c r="A69" s="42" t="s">
        <v>90</v>
      </c>
      <c r="B69" s="42" t="s">
        <v>2182</v>
      </c>
      <c r="C69" s="43" t="s">
        <v>2064</v>
      </c>
      <c r="D69" s="42" t="s">
        <v>2173</v>
      </c>
    </row>
    <row r="70" spans="1:4" ht="15" customHeight="1" x14ac:dyDescent="0.3">
      <c r="A70" s="42" t="s">
        <v>90</v>
      </c>
      <c r="B70" s="42" t="s">
        <v>2184</v>
      </c>
      <c r="C70" s="43" t="s">
        <v>2071</v>
      </c>
      <c r="D70" s="42" t="s">
        <v>2173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12" customWidth="1"/>
    <col min="3" max="3" width="80" customWidth="1"/>
    <col min="4" max="4" width="20" customWidth="1"/>
    <col min="5" max="5" width="22" customWidth="1"/>
    <col min="6" max="6" width="75" customWidth="1"/>
  </cols>
  <sheetData>
    <row r="1" spans="1:6" ht="15" customHeight="1" x14ac:dyDescent="0.3">
      <c r="A1" s="39" t="s">
        <v>2212</v>
      </c>
      <c r="B1" s="39" t="s">
        <v>68</v>
      </c>
      <c r="C1" s="39" t="s">
        <v>2213</v>
      </c>
      <c r="D1" s="39" t="s">
        <v>1083</v>
      </c>
      <c r="E1" s="39" t="s">
        <v>2214</v>
      </c>
      <c r="F1" s="39" t="s">
        <v>2215</v>
      </c>
    </row>
    <row r="2" spans="1:6" ht="75" customHeight="1" x14ac:dyDescent="0.3">
      <c r="A2" s="42">
        <v>1</v>
      </c>
      <c r="B2" s="42" t="s">
        <v>78</v>
      </c>
      <c r="C2" s="43" t="s">
        <v>2216</v>
      </c>
      <c r="D2" s="42" t="s">
        <v>2217</v>
      </c>
      <c r="E2" s="42" t="s">
        <v>1545</v>
      </c>
      <c r="F2" s="44" t="s">
        <v>2218</v>
      </c>
    </row>
    <row r="3" spans="1:6" ht="60" customHeight="1" x14ac:dyDescent="0.3">
      <c r="A3" s="42">
        <v>2</v>
      </c>
      <c r="B3" s="42" t="s">
        <v>72</v>
      </c>
      <c r="C3" s="43" t="s">
        <v>2219</v>
      </c>
      <c r="D3" s="42" t="s">
        <v>1094</v>
      </c>
      <c r="E3" s="42" t="s">
        <v>2220</v>
      </c>
      <c r="F3" s="44" t="s">
        <v>2221</v>
      </c>
    </row>
    <row r="4" spans="1:6" ht="45" customHeight="1" x14ac:dyDescent="0.3">
      <c r="A4" s="42">
        <v>3</v>
      </c>
      <c r="B4" s="42" t="s">
        <v>72</v>
      </c>
      <c r="C4" s="43" t="s">
        <v>2222</v>
      </c>
      <c r="D4" s="42" t="s">
        <v>1087</v>
      </c>
      <c r="E4" s="42" t="s">
        <v>1269</v>
      </c>
      <c r="F4" s="44" t="s">
        <v>2223</v>
      </c>
    </row>
    <row r="5" spans="1:6" ht="45" customHeight="1" x14ac:dyDescent="0.3">
      <c r="A5" s="42">
        <v>4</v>
      </c>
      <c r="B5" s="42" t="s">
        <v>76</v>
      </c>
      <c r="C5" s="43" t="s">
        <v>2224</v>
      </c>
      <c r="D5" s="42" t="s">
        <v>1087</v>
      </c>
      <c r="E5" s="42" t="s">
        <v>1481</v>
      </c>
      <c r="F5" s="44" t="s">
        <v>2225</v>
      </c>
    </row>
    <row r="6" spans="1:6" ht="45" customHeight="1" x14ac:dyDescent="0.3">
      <c r="A6" s="42">
        <v>5</v>
      </c>
      <c r="B6" s="42" t="s">
        <v>74</v>
      </c>
      <c r="C6" s="43" t="s">
        <v>2226</v>
      </c>
      <c r="D6" s="42" t="s">
        <v>1087</v>
      </c>
      <c r="E6" s="42" t="s">
        <v>1362</v>
      </c>
      <c r="F6" s="44" t="s">
        <v>2227</v>
      </c>
    </row>
    <row r="7" spans="1:6" ht="60" customHeight="1" x14ac:dyDescent="0.3">
      <c r="A7" s="42">
        <v>6</v>
      </c>
      <c r="B7" s="42" t="s">
        <v>78</v>
      </c>
      <c r="C7" s="43" t="s">
        <v>2228</v>
      </c>
      <c r="D7" s="42" t="s">
        <v>1094</v>
      </c>
      <c r="E7" s="42" t="s">
        <v>2229</v>
      </c>
      <c r="F7" s="44" t="s">
        <v>2230</v>
      </c>
    </row>
    <row r="8" spans="1:6" ht="30" customHeight="1" x14ac:dyDescent="0.3">
      <c r="A8" s="42">
        <v>7</v>
      </c>
      <c r="B8" s="42" t="s">
        <v>82</v>
      </c>
      <c r="C8" s="43" t="s">
        <v>2231</v>
      </c>
      <c r="D8" s="42" t="s">
        <v>1087</v>
      </c>
      <c r="E8" s="42" t="s">
        <v>1725</v>
      </c>
      <c r="F8" s="44" t="s">
        <v>2232</v>
      </c>
    </row>
    <row r="9" spans="1:6" ht="30" customHeight="1" x14ac:dyDescent="0.3">
      <c r="A9" s="42">
        <v>8</v>
      </c>
      <c r="B9" s="42" t="s">
        <v>82</v>
      </c>
      <c r="C9" s="43" t="s">
        <v>2233</v>
      </c>
      <c r="D9" s="42" t="s">
        <v>1087</v>
      </c>
      <c r="E9" s="42" t="s">
        <v>1730</v>
      </c>
      <c r="F9" s="44" t="s">
        <v>2234</v>
      </c>
    </row>
    <row r="10" spans="1:6" ht="30" customHeight="1" x14ac:dyDescent="0.3">
      <c r="A10" s="42">
        <v>9</v>
      </c>
      <c r="B10" s="42" t="s">
        <v>84</v>
      </c>
      <c r="C10" s="43" t="s">
        <v>2235</v>
      </c>
      <c r="D10" s="42" t="s">
        <v>1087</v>
      </c>
      <c r="E10" s="42" t="s">
        <v>1775</v>
      </c>
      <c r="F10" s="44" t="s">
        <v>2236</v>
      </c>
    </row>
    <row r="11" spans="1:6" ht="45" customHeight="1" x14ac:dyDescent="0.3">
      <c r="A11" s="42">
        <v>10</v>
      </c>
      <c r="B11" s="42" t="s">
        <v>86</v>
      </c>
      <c r="C11" s="43" t="s">
        <v>2237</v>
      </c>
      <c r="D11" s="42" t="s">
        <v>1087</v>
      </c>
      <c r="E11" s="42" t="s">
        <v>1810</v>
      </c>
      <c r="F11" s="44" t="s">
        <v>2238</v>
      </c>
    </row>
    <row r="12" spans="1:6" ht="30" customHeight="1" x14ac:dyDescent="0.3">
      <c r="A12" s="42">
        <v>11</v>
      </c>
      <c r="B12" s="42" t="s">
        <v>88</v>
      </c>
      <c r="C12" s="43" t="s">
        <v>2239</v>
      </c>
      <c r="D12" s="42" t="s">
        <v>1094</v>
      </c>
      <c r="E12" s="42" t="s">
        <v>2005</v>
      </c>
      <c r="F12" s="44" t="s">
        <v>2240</v>
      </c>
    </row>
    <row r="13" spans="1:6" ht="45" customHeight="1" x14ac:dyDescent="0.3">
      <c r="A13" s="42">
        <v>12</v>
      </c>
      <c r="B13" s="42" t="s">
        <v>88</v>
      </c>
      <c r="C13" s="43" t="s">
        <v>2241</v>
      </c>
      <c r="D13" s="42" t="s">
        <v>1094</v>
      </c>
      <c r="E13" s="42" t="s">
        <v>2242</v>
      </c>
      <c r="F13" s="44" t="s">
        <v>2243</v>
      </c>
    </row>
    <row r="14" spans="1:6" ht="30" customHeight="1" x14ac:dyDescent="0.3">
      <c r="A14" s="42">
        <v>13</v>
      </c>
      <c r="B14" s="42" t="s">
        <v>88</v>
      </c>
      <c r="C14" s="43" t="s">
        <v>2244</v>
      </c>
      <c r="D14" s="42" t="s">
        <v>1094</v>
      </c>
      <c r="E14" s="42" t="s">
        <v>1117</v>
      </c>
      <c r="F14" s="44" t="s">
        <v>2245</v>
      </c>
    </row>
    <row r="15" spans="1:6" ht="45" customHeight="1" x14ac:dyDescent="0.3">
      <c r="A15" s="42">
        <v>14</v>
      </c>
      <c r="B15" s="42" t="s">
        <v>90</v>
      </c>
      <c r="C15" s="43" t="s">
        <v>2246</v>
      </c>
      <c r="D15" s="42" t="s">
        <v>1094</v>
      </c>
      <c r="E15" s="42" t="s">
        <v>2093</v>
      </c>
      <c r="F15" s="44" t="s">
        <v>2247</v>
      </c>
    </row>
    <row r="16" spans="1:6" ht="30" customHeight="1" x14ac:dyDescent="0.3">
      <c r="A16" s="42">
        <v>15</v>
      </c>
      <c r="B16" s="42" t="s">
        <v>90</v>
      </c>
      <c r="C16" s="43" t="s">
        <v>2248</v>
      </c>
      <c r="D16" s="42" t="s">
        <v>1087</v>
      </c>
      <c r="E16" s="42" t="s">
        <v>2101</v>
      </c>
      <c r="F16" s="44" t="s">
        <v>2249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Xülasə</vt:lpstr>
      <vt:lpstr>Test Report</vt:lpstr>
      <vt:lpstr>Web Test Cases</vt:lpstr>
      <vt:lpstr>Web Test Scenarios</vt:lpstr>
      <vt:lpstr>Web Test Scope</vt:lpstr>
      <vt:lpstr>Tapıntılar</vt:lpstr>
      <vt:lpstr>API Test Cases</vt:lpstr>
      <vt:lpstr>API Coverage</vt:lpstr>
      <vt:lpstr>API Traceability</vt:lpstr>
      <vt:lpstr>API Grooming Questions</vt:lpstr>
      <vt:lpstr>'Test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Tamara Malikova</cp:lastModifiedBy>
  <cp:revision>5</cp:revision>
  <dcterms:created xsi:type="dcterms:W3CDTF">2026-10-06T11:04:08Z</dcterms:created>
  <dcterms:modified xsi:type="dcterms:W3CDTF">2026-10-12T08:01:16Z</dcterms:modified>
  <dc:language>en-US</dc:language>
</cp:coreProperties>
</file>